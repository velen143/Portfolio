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elen\Music\portfolio\Digital E-commerce Analysis\Excel\"/>
    </mc:Choice>
  </mc:AlternateContent>
  <xr:revisionPtr revIDLastSave="0" documentId="13_ncr:1_{AF13E06C-907E-4BFB-BA23-D58A85E62F1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01_BPS_Raw_Data" sheetId="1" r:id="rId1"/>
    <sheet name="02_Data_Validation" sheetId="4" r:id="rId2"/>
    <sheet name="03_Clean_Data" sheetId="5" r:id="rId3"/>
    <sheet name="04_Analysis" sheetId="7" r:id="rId4"/>
    <sheet name="05_Pivot_Table" sheetId="8" r:id="rId5"/>
    <sheet name="06_Data_Dictionary" sheetId="6" r:id="rId6"/>
    <sheet name="README" sheetId="2" r:id="rId7"/>
    <sheet name="07_Sources" sheetId="3" r:id="rId8"/>
  </sheets>
  <definedNames>
    <definedName name="_xlnm._FilterDatabase" localSheetId="0" hidden="1">'01_BPS_Raw_Data'!$A$1:$M$39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7" l="1"/>
  <c r="C25" i="7"/>
  <c r="C26" i="7"/>
  <c r="C27" i="7"/>
  <c r="C28" i="7"/>
  <c r="C29" i="7"/>
  <c r="C30" i="7"/>
  <c r="C31" i="7"/>
  <c r="C32" i="7"/>
  <c r="B24" i="7"/>
  <c r="B25" i="7"/>
  <c r="B26" i="7"/>
  <c r="B27" i="7"/>
  <c r="B28" i="7"/>
  <c r="B29" i="7"/>
  <c r="B30" i="7"/>
  <c r="B31" i="7"/>
  <c r="B32" i="7"/>
  <c r="C23" i="7"/>
  <c r="B23" i="7"/>
  <c r="H19" i="7"/>
  <c r="H18" i="7"/>
  <c r="H17" i="7"/>
  <c r="E19" i="7"/>
  <c r="E18" i="7"/>
  <c r="E17" i="7"/>
  <c r="B18" i="7"/>
  <c r="B17" i="7"/>
  <c r="B19" i="7" s="1"/>
  <c r="E12" i="7"/>
  <c r="E13" i="7" s="1"/>
  <c r="E10" i="7"/>
  <c r="E11" i="7" s="1"/>
  <c r="B12" i="7"/>
  <c r="B13" i="7" s="1"/>
  <c r="B10" i="7"/>
  <c r="B11" i="7" s="1"/>
  <c r="E6" i="7"/>
  <c r="K14" i="8" s="1"/>
  <c r="E5" i="7"/>
  <c r="K13" i="8" s="1"/>
  <c r="E4" i="7"/>
  <c r="K12" i="8" s="1"/>
  <c r="E3" i="7"/>
  <c r="K11" i="8" s="1"/>
  <c r="E2" i="7"/>
  <c r="K10" i="8" s="1"/>
  <c r="B6" i="7"/>
  <c r="K6" i="8" s="1"/>
  <c r="B5" i="7"/>
  <c r="K5" i="8" s="1"/>
  <c r="B4" i="7"/>
  <c r="K4" i="8" s="1"/>
  <c r="B3" i="7"/>
  <c r="K3" i="8" s="1"/>
  <c r="B2" i="7"/>
  <c r="K2" i="8" s="1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2" i="5"/>
  <c r="B25" i="4"/>
  <c r="B24" i="4"/>
  <c r="B23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B7" i="4"/>
  <c r="B6" i="4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2" i="1"/>
  <c r="B5" i="4"/>
  <c r="B4" i="4" a="1"/>
  <c r="B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<sst xmlns="http://schemas.openxmlformats.org/spreadsheetml/2006/main" count="376" uniqueCount="150">
  <si>
    <t>Provinsi</t>
  </si>
  <si>
    <t>Website (%)</t>
  </si>
  <si>
    <t>Email (%)</t>
  </si>
  <si>
    <t>Instant Messaging (%)</t>
  </si>
  <si>
    <t>Social Media (%)</t>
  </si>
  <si>
    <t>Marketplace (%)</t>
  </si>
  <si>
    <t>Cash (%)</t>
  </si>
  <si>
    <t>Bank Transfer (%)</t>
  </si>
  <si>
    <t>Card (%)</t>
  </si>
  <si>
    <t>E-Wallet (%)</t>
  </si>
  <si>
    <t>QRIS (%)</t>
  </si>
  <si>
    <t>E-Commerce Business Share (%)</t>
  </si>
  <si>
    <t>RSE (%)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</si>
  <si>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</si>
  <si>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</si>
  <si>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</si>
  <si>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</si>
  <si>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</si>
  <si>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</si>
  <si>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</si>
  <si>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</si>
  <si>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</si>
  <si>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</si>
  <si>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</si>
  <si>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</si>
  <si>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</si>
  <si>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D.I.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</si>
  <si>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</si>
  <si>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</si>
  <si>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</si>
  <si>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</si>
  <si>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</si>
  <si>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</si>
  <si>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</si>
  <si>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</si>
  <si>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</si>
  <si>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</si>
  <si>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</si>
  <si>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</si>
  <si>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</si>
  <si>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</si>
  <si>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</si>
  <si>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</si>
  <si>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</si>
  <si>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</si>
  <si>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</si>
  <si>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</si>
  <si>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</si>
  <si>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</si>
  <si>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</si>
  <si>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</si>
  <si>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Project</t>
  </si>
  <si>
    <t>Analisis Digitalisasi Usaha E-Commerce Indonesia</t>
  </si>
  <si>
    <t>Sumber</t>
  </si>
  <si>
    <t>BPS - Statistik E-Commerce 2023, Volume 6, 2025</t>
  </si>
  <si>
    <t>Data</t>
  </si>
  <si>
    <t>Aktivitas usaha e-commerce selama 2023</t>
  </si>
  <si>
    <t>Lampiran</t>
  </si>
  <si>
    <t>14 (Media Penjualan), 15 (Metode Pembayaran), 29 (Share &amp; RSE)</t>
  </si>
  <si>
    <t>Catatan</t>
  </si>
  <si>
    <t>NA/kosong dipertahankan untuk provinsi yang tidak dapat ditampilkan BPS karena RSE &gt;25%.</t>
  </si>
  <si>
    <t>Langkah berikut</t>
  </si>
  <si>
    <t>Data validation -&gt; cleaning -&gt; analysis -&gt; PivotTable -&gt; dashboard -&gt; insight</t>
  </si>
  <si>
    <t>Sumber resmi BPS</t>
  </si>
  <si>
    <t>Keterangan</t>
  </si>
  <si>
    <t>Statistik E-Commerce 2023</t>
  </si>
  <si>
    <t>Publikasi BPS, rilis 30 Januari 2025</t>
  </si>
  <si>
    <t>Lampiran 14</t>
  </si>
  <si>
    <t>Persentase usaha e-commerce menurut provinsi dan media penjualan</t>
  </si>
  <si>
    <t>Lampiran 15</t>
  </si>
  <si>
    <t>Persentase usaha e-commerce menurut provinsi dan metode pembayaran</t>
  </si>
  <si>
    <t>Lampiran 29</t>
  </si>
  <si>
    <t>Persentase usaha e-commerce dan RSE menurut provinsi</t>
  </si>
  <si>
    <t>Total Data</t>
  </si>
  <si>
    <t>Duplicate Provinsi</t>
  </si>
  <si>
    <t>Missing Value</t>
  </si>
  <si>
    <t>Missing Check</t>
  </si>
  <si>
    <t>Nilai &lt; 0</t>
  </si>
  <si>
    <t>Nilai &gt; 100</t>
  </si>
  <si>
    <t>Kolom</t>
  </si>
  <si>
    <t>Minimum</t>
  </si>
  <si>
    <t>Maximum</t>
  </si>
  <si>
    <t>Website</t>
  </si>
  <si>
    <t>Email</t>
  </si>
  <si>
    <t>Instant Messaging</t>
  </si>
  <si>
    <t>Social Media</t>
  </si>
  <si>
    <t>Marketplace</t>
  </si>
  <si>
    <t>Cash</t>
  </si>
  <si>
    <t>Bank Transfer</t>
  </si>
  <si>
    <t>Card</t>
  </si>
  <si>
    <t>E-Wallet</t>
  </si>
  <si>
    <t>QRIS</t>
  </si>
  <si>
    <t>RSE &gt; 25%</t>
  </si>
  <si>
    <t>RSE &lt;= 25%</t>
  </si>
  <si>
    <t>Status Dataset</t>
  </si>
  <si>
    <t>Digital Payment (%)</t>
  </si>
  <si>
    <t>Cash vs Digital (%)</t>
  </si>
  <si>
    <t>Marketplace Rank</t>
  </si>
  <si>
    <t>Digital Payment Rank</t>
  </si>
  <si>
    <t>Marketplace Category</t>
  </si>
  <si>
    <t>Digital Payment Category</t>
  </si>
  <si>
    <t>Data Status</t>
  </si>
  <si>
    <t>Column</t>
  </si>
  <si>
    <t>Definition</t>
  </si>
  <si>
    <t>Type</t>
  </si>
  <si>
    <t>Source</t>
  </si>
  <si>
    <t>Nama provinsi</t>
  </si>
  <si>
    <t>Text</t>
  </si>
  <si>
    <t>BPS</t>
  </si>
  <si>
    <t>Persentase usaha yang menggunakan website sebagai media penjualan</t>
  </si>
  <si>
    <t>Numeric</t>
  </si>
  <si>
    <t>Persentase usaha yang menggunakan email</t>
  </si>
  <si>
    <t>Persentase usaha yang menggunakan instant messaging</t>
  </si>
  <si>
    <t>Persentase usaha yang menggunakan media sosial</t>
  </si>
  <si>
    <t>Persentase usaha yang menggunakan marketplace</t>
  </si>
  <si>
    <t>Persentase usaha yang paling sering menggunakan cash</t>
  </si>
  <si>
    <t>Persentase usaha yang paling sering menggunakan transfer bank</t>
  </si>
  <si>
    <t>Persentase usaha yang paling sering menggunakan kartu</t>
  </si>
  <si>
    <t>Persentase usaha yang paling sering menggunakan e-wallet</t>
  </si>
  <si>
    <t>Persentase usaha yang paling sering menggunakan QRIS</t>
  </si>
  <si>
    <t>Relative Standard Error</t>
  </si>
  <si>
    <t>Bank Transfer + Card + E-Wallet + QRIS</t>
  </si>
  <si>
    <t>Calculated</t>
  </si>
  <si>
    <t>Cash - Digital Payment</t>
  </si>
  <si>
    <t>Ranking marketplace antarprovinsi</t>
  </si>
  <si>
    <t>Ranking digital payment antarprovinsi</t>
  </si>
  <si>
    <t>Kanal Penjualan</t>
  </si>
  <si>
    <t>Rata-rata (%)</t>
  </si>
  <si>
    <t>Metode Pembayaran</t>
  </si>
  <si>
    <t>Analisis Marketplace</t>
  </si>
  <si>
    <t>Hasil</t>
  </si>
  <si>
    <t>Nilai Tertinggi</t>
  </si>
  <si>
    <t>Provinsi dengan Nilai Tertinggi</t>
  </si>
  <si>
    <t>Nilai Terendah</t>
  </si>
  <si>
    <t>Provinsi dengan Nilai Terendah</t>
  </si>
  <si>
    <t>Analisis Digital Payment</t>
  </si>
  <si>
    <t>Analisis Cash vs Digital</t>
  </si>
  <si>
    <t>Digital Payment</t>
  </si>
  <si>
    <t>Selisih</t>
  </si>
  <si>
    <t>Kategori Marketplace</t>
  </si>
  <si>
    <t>Jumlah Provinsi</t>
  </si>
  <si>
    <t>High</t>
  </si>
  <si>
    <t>Medium</t>
  </si>
  <si>
    <t>Low</t>
  </si>
  <si>
    <t>Kategori Digital Payment</t>
  </si>
  <si>
    <t>Rank</t>
  </si>
  <si>
    <t>Row Labels</t>
  </si>
  <si>
    <t>Grand Total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</si>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</sst>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en Shinta Pramesti" refreshedDate="46288.100918402779" createdVersion="8" refreshedVersion="8" minRefreshableVersion="3" recordCount="38" xr:uid="{596D9080-95E5-4233-86DC-A65928D1D909}">
  <cacheSource type="worksheet">
    <worksheetSource ref="A1:T39" sheet="03_Clean_Data"/>
  </cacheSource>
  <cacheFields count="20">
    <cacheField name="Provinsi" numFmtId="0">
      <sharedItems count="38">
        <s v="Aceh"/>
        <s v="Sumatera Utara"/>
        <s v="Sumatera Barat"/>
        <s v="Riau"/>
        <s v="Jambi"/>
        <s v="Sumatera Selatan"/>
        <s v="Bengkulu"/>
        <s v="Lampung"/>
        <s v="Kep. Bangka Belitung"/>
        <s v="Kepulauan Riau"/>
        <s v="DKI Jakarta"/>
        <s v="Jawa Barat"/>
        <s v="Jawa Tengah"/>
        <s v="D.I. Yogyakarta"/>
        <s v="Jawa Timur"/>
        <s v="Banten"/>
        <s v="Bali"/>
        <s v="Nusa Tenggara Barat"/>
        <s v="Nusa Tenggara Timur"/>
        <s v="Kalimantan Barat"/>
        <s v="Kalimantan Tengah"/>
        <s v="Kalimantan Selatan"/>
        <s v="Kalimantan Timur"/>
        <s v="Kalimantan Utara"/>
        <s v="Sulawesi Utara"/>
        <s v="Sulawesi Tengah"/>
        <s v="Sulawesi Selatan"/>
        <s v="Sulawesi Tenggara"/>
        <s v="Gorontalo"/>
        <s v="Sulawesi Barat"/>
        <s v="Maluku"/>
        <s v="Maluku Utara"/>
        <s v="Papua Barat"/>
        <s v="Papua Barat Daya"/>
        <s v="Papua"/>
        <s v="Papua Selatan"/>
        <s v="Papua Tengah"/>
        <s v="Papua Pegunungan"/>
      </sharedItems>
    </cacheField>
    <cacheField name="Website (%)" numFmtId="0">
      <sharedItems containsString="0" containsBlank="1" containsNumber="1" minValue="0" maxValue="7.49"/>
    </cacheField>
    <cacheField name="Email (%)" numFmtId="0">
      <sharedItems containsString="0" containsBlank="1" containsNumber="1" minValue="0.1" maxValue="9.44"/>
    </cacheField>
    <cacheField name="Instant Messaging (%)" numFmtId="0">
      <sharedItems containsString="0" containsBlank="1" containsNumber="1" minValue="84.57" maxValue="99.1"/>
    </cacheField>
    <cacheField name="Social Media (%)" numFmtId="0">
      <sharedItems containsString="0" containsBlank="1" containsNumber="1" minValue="22.3" maxValue="82.91"/>
    </cacheField>
    <cacheField name="Marketplace (%)" numFmtId="0">
      <sharedItems containsString="0" containsBlank="1" containsNumber="1" minValue="1.27" maxValue="41.4"/>
    </cacheField>
    <cacheField name="Cash (%)" numFmtId="0">
      <sharedItems containsString="0" containsBlank="1" containsNumber="1" minValue="45.54" maxValue="90.69"/>
    </cacheField>
    <cacheField name="Bank Transfer (%)" numFmtId="0">
      <sharedItems containsString="0" containsBlank="1" containsNumber="1" minValue="7.91" maxValue="27.23"/>
    </cacheField>
    <cacheField name="Card (%)" numFmtId="0">
      <sharedItems containsString="0" containsBlank="1" containsNumber="1" minValue="0" maxValue="5.36"/>
    </cacheField>
    <cacheField name="E-Wallet (%)" numFmtId="0">
      <sharedItems containsString="0" containsBlank="1" containsNumber="1" minValue="0" maxValue="23.07"/>
    </cacheField>
    <cacheField name="QRIS (%)" numFmtId="0">
      <sharedItems containsString="0" containsBlank="1" containsNumber="1" minValue="0" maxValue="3.02"/>
    </cacheField>
    <cacheField name="E-Commerce Business Share (%)" numFmtId="0">
      <sharedItems containsString="0" containsBlank="1" containsNumber="1" minValue="0.04" maxValue="21.43"/>
    </cacheField>
    <cacheField name="RSE (%)" numFmtId="0">
      <sharedItems containsString="0" containsBlank="1" containsNumber="1" minValue="4.33" maxValue="17.25"/>
    </cacheField>
    <cacheField name="Digital Payment (%)" numFmtId="0">
      <sharedItems containsSemiMixedTypes="0" containsString="0" containsNumber="1" minValue="0" maxValue="54.46"/>
    </cacheField>
    <cacheField name="Cash vs Digital (%)" numFmtId="0">
      <sharedItems containsSemiMixedTypes="0" containsString="0" containsNumber="1" minValue="-8.9200000000000017" maxValue="81.39"/>
    </cacheField>
    <cacheField name="Marketplace Rank" numFmtId="0">
      <sharedItems containsMixedTypes="1" containsNumber="1" containsInteger="1" minValue="1" maxValue="36"/>
    </cacheField>
    <cacheField name="Digital Payment Rank" numFmtId="0">
      <sharedItems containsSemiMixedTypes="0" containsString="0" containsNumber="1" containsInteger="1" minValue="1" maxValue="37"/>
    </cacheField>
    <cacheField name="Marketplace Category" numFmtId="0">
      <sharedItems/>
    </cacheField>
    <cacheField name="Digital Payment Category" numFmtId="0">
      <sharedItems/>
    </cacheField>
    <cacheField name="Data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n v="0.39"/>
    <n v="2.89"/>
    <n v="98.72"/>
    <n v="47.11"/>
    <n v="5.5"/>
    <n v="81.39"/>
    <n v="17.739999999999998"/>
    <n v="0.05"/>
    <n v="0.36"/>
    <n v="0.45"/>
    <n v="0.88"/>
    <n v="5.84"/>
    <n v="18.599999999999998"/>
    <n v="62.790000000000006"/>
    <n v="32"/>
    <n v="21"/>
    <s v="Low"/>
    <s v="Medium"/>
    <s v="OK"/>
  </r>
  <r>
    <x v="1"/>
    <n v="0.98"/>
    <n v="6.08"/>
    <n v="97.67"/>
    <n v="53.82"/>
    <n v="8.2799999999999994"/>
    <n v="89.35"/>
    <n v="9.11"/>
    <n v="0.03"/>
    <n v="1.38"/>
    <n v="0.12"/>
    <n v="3.8"/>
    <n v="6.19"/>
    <n v="10.639999999999999"/>
    <n v="78.709999999999994"/>
    <n v="31"/>
    <n v="34"/>
    <s v="Low"/>
    <s v="Low"/>
    <s v="OK"/>
  </r>
  <r>
    <x v="2"/>
    <n v="1.23"/>
    <n v="1.44"/>
    <n v="94.82"/>
    <n v="39"/>
    <n v="16.940000000000001"/>
    <n v="73.89"/>
    <n v="21.47"/>
    <n v="0.28000000000000003"/>
    <n v="3.9"/>
    <n v="0.46"/>
    <n v="1.05"/>
    <n v="5.73"/>
    <n v="26.11"/>
    <n v="47.78"/>
    <n v="6"/>
    <n v="4"/>
    <s v="Medium"/>
    <s v="Medium"/>
    <s v="OK"/>
  </r>
  <r>
    <x v="3"/>
    <n v="2.39"/>
    <n v="4.97"/>
    <n v="94.77"/>
    <n v="50.55"/>
    <n v="14.55"/>
    <n v="83.76"/>
    <n v="13.33"/>
    <n v="0.16"/>
    <n v="2.0699999999999998"/>
    <n v="0.68"/>
    <n v="1.68"/>
    <n v="4.33"/>
    <n v="16.240000000000002"/>
    <n v="67.52000000000001"/>
    <n v="14"/>
    <n v="27"/>
    <s v="Medium"/>
    <s v="Medium"/>
    <s v="OK"/>
  </r>
  <r>
    <x v="4"/>
    <n v="0.84"/>
    <n v="3.12"/>
    <n v="97.84"/>
    <n v="47.52"/>
    <n v="10.69"/>
    <n v="83.17"/>
    <n v="14.1"/>
    <n v="0.55000000000000004"/>
    <n v="1.85"/>
    <n v="0.34"/>
    <n v="0.8"/>
    <n v="5.53"/>
    <n v="16.84"/>
    <n v="66.33"/>
    <n v="24"/>
    <n v="25"/>
    <s v="Medium"/>
    <s v="Medium"/>
    <s v="OK"/>
  </r>
  <r>
    <x v="5"/>
    <n v="1.1200000000000001"/>
    <n v="3.23"/>
    <n v="94.62"/>
    <n v="46.63"/>
    <n v="15.18"/>
    <n v="83.63"/>
    <n v="12.74"/>
    <n v="0.12"/>
    <n v="3.25"/>
    <n v="0.25"/>
    <n v="0.91"/>
    <n v="6.47"/>
    <n v="16.36"/>
    <n v="67.27"/>
    <n v="11"/>
    <n v="26"/>
    <s v="Medium"/>
    <s v="Medium"/>
    <s v="OK"/>
  </r>
  <r>
    <x v="6"/>
    <n v="1.57"/>
    <n v="4.01"/>
    <n v="97.04"/>
    <n v="55.82"/>
    <n v="10.35"/>
    <n v="79.489999999999995"/>
    <n v="17.46"/>
    <n v="0.08"/>
    <n v="0.85"/>
    <n v="2.12"/>
    <n v="0.66"/>
    <n v="7.47"/>
    <n v="20.51"/>
    <n v="58.97999999999999"/>
    <n v="25"/>
    <n v="15"/>
    <s v="Medium"/>
    <s v="Medium"/>
    <s v="OK"/>
  </r>
  <r>
    <x v="7"/>
    <n v="1.6"/>
    <n v="1.93"/>
    <n v="97.74"/>
    <n v="34.799999999999997"/>
    <n v="11.78"/>
    <n v="84.55"/>
    <n v="10.25"/>
    <n v="0.7"/>
    <n v="3.69"/>
    <n v="0.81"/>
    <n v="1.52"/>
    <n v="7.68"/>
    <n v="15.45"/>
    <n v="69.099999999999994"/>
    <n v="21"/>
    <n v="28"/>
    <s v="Medium"/>
    <s v="Medium"/>
    <s v="OK"/>
  </r>
  <r>
    <x v="8"/>
    <n v="1.07"/>
    <n v="1.91"/>
    <n v="99.1"/>
    <n v="41.7"/>
    <n v="3.25"/>
    <n v="90.69"/>
    <n v="8.6"/>
    <n v="0.04"/>
    <n v="0.49"/>
    <n v="0.17"/>
    <n v="0.49"/>
    <n v="4.82"/>
    <n v="9.2999999999999989"/>
    <n v="81.39"/>
    <n v="35"/>
    <n v="36"/>
    <s v="Low"/>
    <s v="Low"/>
    <s v="OK"/>
  </r>
  <r>
    <x v="9"/>
    <n v="2.59"/>
    <n v="1.66"/>
    <n v="96.19"/>
    <n v="42.04"/>
    <n v="16.89"/>
    <n v="73.650000000000006"/>
    <n v="19.309999999999999"/>
    <n v="0.48"/>
    <n v="4.99"/>
    <n v="1.57"/>
    <n v="1.05"/>
    <n v="10.66"/>
    <n v="26.35"/>
    <n v="47.300000000000004"/>
    <n v="7"/>
    <n v="3"/>
    <s v="Medium"/>
    <s v="Medium"/>
    <s v="OK"/>
  </r>
  <r>
    <x v="10"/>
    <n v="3.65"/>
    <n v="7.86"/>
    <n v="84.57"/>
    <n v="22.3"/>
    <n v="41.4"/>
    <n v="45.54"/>
    <n v="27.23"/>
    <n v="1.1399999999999999"/>
    <n v="23.07"/>
    <n v="3.02"/>
    <n v="8.99"/>
    <n v="4.79"/>
    <n v="54.46"/>
    <n v="-8.9200000000000017"/>
    <n v="1"/>
    <n v="1"/>
    <s v="High"/>
    <s v="High"/>
    <s v="OK"/>
  </r>
  <r>
    <x v="11"/>
    <n v="2.37"/>
    <n v="3.28"/>
    <n v="94.66"/>
    <n v="27.29"/>
    <n v="18.420000000000002"/>
    <n v="74.22"/>
    <n v="18.14"/>
    <n v="0.36"/>
    <n v="6.41"/>
    <n v="0.86"/>
    <n v="21.43"/>
    <n v="4.4000000000000004"/>
    <n v="25.77"/>
    <n v="48.45"/>
    <n v="5"/>
    <n v="5"/>
    <s v="Medium"/>
    <s v="Medium"/>
    <s v="OK"/>
  </r>
  <r>
    <x v="12"/>
    <n v="0.69"/>
    <n v="0.74"/>
    <n v="98.01"/>
    <n v="28.79"/>
    <n v="13.93"/>
    <n v="78.739999999999995"/>
    <n v="16.53"/>
    <n v="0.19"/>
    <n v="4.05"/>
    <n v="0.49"/>
    <n v="17.66"/>
    <n v="5.13"/>
    <n v="21.26"/>
    <n v="57.47999999999999"/>
    <n v="16"/>
    <n v="12"/>
    <s v="Medium"/>
    <s v="Medium"/>
    <s v="OK"/>
  </r>
  <r>
    <x v="13"/>
    <n v="1.41"/>
    <n v="0.19"/>
    <n v="96.48"/>
    <n v="24.01"/>
    <n v="16.03"/>
    <n v="76.33"/>
    <n v="15.72"/>
    <n v="0.16"/>
    <n v="6.3"/>
    <n v="1.49"/>
    <n v="5.08"/>
    <n v="6.26"/>
    <n v="23.669999999999998"/>
    <n v="52.66"/>
    <n v="9"/>
    <n v="8"/>
    <s v="Medium"/>
    <s v="Medium"/>
    <s v="OK"/>
  </r>
  <r>
    <x v="14"/>
    <n v="0.84"/>
    <n v="3.63"/>
    <n v="98.19"/>
    <n v="31.6"/>
    <n v="15.08"/>
    <n v="78.86"/>
    <n v="17.399999999999999"/>
    <n v="0.14000000000000001"/>
    <n v="2.83"/>
    <n v="0.78"/>
    <n v="18.309999999999999"/>
    <n v="6.02"/>
    <n v="21.15"/>
    <n v="57.71"/>
    <n v="12"/>
    <n v="13"/>
    <s v="Medium"/>
    <s v="Medium"/>
    <s v="OK"/>
  </r>
  <r>
    <x v="15"/>
    <n v="3.22"/>
    <n v="6.15"/>
    <n v="92.13"/>
    <n v="23.98"/>
    <n v="26.57"/>
    <n v="70.52"/>
    <n v="17.3"/>
    <n v="0.28999999999999998"/>
    <n v="10.32"/>
    <n v="1.57"/>
    <n v="3.57"/>
    <n v="4.83"/>
    <n v="29.48"/>
    <n v="41.039999999999992"/>
    <n v="2"/>
    <n v="2"/>
    <s v="High"/>
    <s v="Medium"/>
    <s v="OK"/>
  </r>
  <r>
    <x v="16"/>
    <n v="5.45"/>
    <n v="6.92"/>
    <n v="93.61"/>
    <n v="33.049999999999997"/>
    <n v="22.85"/>
    <n v="75.180000000000007"/>
    <n v="15.34"/>
    <n v="5.36"/>
    <n v="1.98"/>
    <n v="2.14"/>
    <n v="2.12"/>
    <n v="5.4"/>
    <n v="24.82"/>
    <n v="50.360000000000007"/>
    <n v="3"/>
    <n v="7"/>
    <s v="High"/>
    <s v="Medium"/>
    <s v="OK"/>
  </r>
  <r>
    <x v="17"/>
    <n v="1.97"/>
    <n v="1.46"/>
    <n v="97.76"/>
    <n v="63.03"/>
    <n v="10.27"/>
    <n v="81.66"/>
    <n v="15.23"/>
    <n v="0.03"/>
    <n v="2.4900000000000002"/>
    <n v="0.59"/>
    <n v="1.01"/>
    <n v="4.7"/>
    <n v="18.34"/>
    <n v="63.319999999999993"/>
    <n v="26"/>
    <n v="22"/>
    <s v="Medium"/>
    <s v="Medium"/>
    <s v="OK"/>
  </r>
  <r>
    <x v="18"/>
    <n v="1.4"/>
    <n v="2.5499999999999998"/>
    <n v="93.38"/>
    <n v="67.55"/>
    <n v="14.13"/>
    <n v="85.96"/>
    <n v="11.19"/>
    <n v="0.27"/>
    <n v="1.22"/>
    <n v="1.35"/>
    <n v="0.52"/>
    <n v="6.17"/>
    <n v="14.03"/>
    <n v="71.929999999999993"/>
    <n v="15"/>
    <n v="32"/>
    <s v="Medium"/>
    <s v="Low"/>
    <s v="OK"/>
  </r>
  <r>
    <x v="19"/>
    <n v="1.24"/>
    <n v="1.79"/>
    <n v="94.96"/>
    <n v="50.7"/>
    <n v="12.49"/>
    <n v="80.709999999999994"/>
    <n v="16.86"/>
    <n v="0.36"/>
    <n v="0.99"/>
    <n v="1.08"/>
    <n v="0.67"/>
    <n v="5.18"/>
    <n v="19.29"/>
    <n v="61.419999999999995"/>
    <n v="18"/>
    <n v="18"/>
    <s v="Medium"/>
    <s v="Medium"/>
    <s v="OK"/>
  </r>
  <r>
    <x v="20"/>
    <n v="0.42"/>
    <n v="1.57"/>
    <n v="97.13"/>
    <n v="54.33"/>
    <n v="8.5"/>
    <n v="85.85"/>
    <n v="12.11"/>
    <n v="0.21"/>
    <n v="0.91"/>
    <n v="0.91"/>
    <n v="0.49"/>
    <n v="5.09"/>
    <n v="14.14"/>
    <n v="71.709999999999994"/>
    <n v="30"/>
    <n v="31"/>
    <s v="Low"/>
    <s v="Low"/>
    <s v="OK"/>
  </r>
  <r>
    <x v="21"/>
    <n v="1.24"/>
    <n v="2.33"/>
    <n v="94.77"/>
    <n v="35.380000000000003"/>
    <n v="16.489999999999998"/>
    <n v="74.47"/>
    <n v="18.93"/>
    <n v="0.45"/>
    <n v="5.41"/>
    <n v="0.73"/>
    <n v="1.05"/>
    <n v="5.92"/>
    <n v="25.52"/>
    <n v="48.95"/>
    <n v="8"/>
    <n v="6"/>
    <s v="Medium"/>
    <s v="Medium"/>
    <s v="OK"/>
  </r>
  <r>
    <x v="22"/>
    <n v="1.59"/>
    <n v="1.54"/>
    <n v="97.48"/>
    <n v="54.96"/>
    <n v="12.89"/>
    <n v="78.28"/>
    <n v="18.11"/>
    <n v="0.27"/>
    <n v="2.5299999999999998"/>
    <n v="0.81"/>
    <n v="1.5"/>
    <n v="4.5999999999999996"/>
    <n v="21.72"/>
    <n v="56.56"/>
    <n v="17"/>
    <n v="11"/>
    <s v="Medium"/>
    <s v="Medium"/>
    <s v="OK"/>
  </r>
  <r>
    <x v="23"/>
    <n v="1.52"/>
    <n v="2.2400000000000002"/>
    <n v="98.02"/>
    <n v="59.32"/>
    <n v="8.5500000000000007"/>
    <n v="82.03"/>
    <n v="15.4"/>
    <n v="0.06"/>
    <n v="0.83"/>
    <n v="1.68"/>
    <n v="0.21"/>
    <n v="4.3499999999999996"/>
    <n v="17.97"/>
    <n v="64.06"/>
    <n v="29"/>
    <n v="24"/>
    <s v="Low"/>
    <s v="Medium"/>
    <s v="OK"/>
  </r>
  <r>
    <x v="24"/>
    <n v="7.49"/>
    <n v="9.44"/>
    <n v="88.05"/>
    <n v="82.91"/>
    <n v="15.21"/>
    <n v="80.86"/>
    <n v="13.49"/>
    <n v="0.59"/>
    <n v="3.75"/>
    <n v="1.31"/>
    <n v="0.48"/>
    <n v="7.88"/>
    <n v="19.139999999999997"/>
    <n v="61.72"/>
    <n v="10"/>
    <n v="19"/>
    <s v="Medium"/>
    <s v="Medium"/>
    <s v="OK"/>
  </r>
  <r>
    <x v="25"/>
    <n v="0.63"/>
    <n v="3.64"/>
    <n v="91.46"/>
    <n v="70.400000000000006"/>
    <n v="11.45"/>
    <n v="79.23"/>
    <n v="18.850000000000001"/>
    <n v="0.1"/>
    <n v="0.51"/>
    <n v="1.31"/>
    <n v="0.5"/>
    <n v="5.28"/>
    <n v="20.770000000000003"/>
    <n v="58.46"/>
    <n v="23"/>
    <n v="14"/>
    <s v="Medium"/>
    <s v="Medium"/>
    <s v="OK"/>
  </r>
  <r>
    <x v="26"/>
    <n v="2.36"/>
    <n v="3.51"/>
    <n v="96.32"/>
    <n v="55.06"/>
    <n v="12.04"/>
    <n v="81.84"/>
    <n v="15.3"/>
    <n v="0.48"/>
    <n v="1.5"/>
    <n v="0.89"/>
    <n v="2.41"/>
    <n v="6.39"/>
    <n v="18.170000000000002"/>
    <n v="63.67"/>
    <n v="20"/>
    <n v="23"/>
    <s v="Medium"/>
    <s v="Medium"/>
    <s v="OK"/>
  </r>
  <r>
    <x v="27"/>
    <n v="0.44"/>
    <n v="1.5"/>
    <n v="98"/>
    <n v="66.12"/>
    <n v="8.56"/>
    <n v="85.1"/>
    <n v="14.23"/>
    <n v="0"/>
    <n v="0.33"/>
    <n v="0.34"/>
    <n v="0.35"/>
    <n v="10.9"/>
    <n v="14.9"/>
    <n v="70.199999999999989"/>
    <n v="28"/>
    <n v="29"/>
    <s v="Low"/>
    <s v="Low"/>
    <s v="OK"/>
  </r>
  <r>
    <x v="28"/>
    <n v="0.38"/>
    <m/>
    <n v="92.16"/>
    <n v="72.61"/>
    <n v="12.14"/>
    <n v="88.41"/>
    <n v="10.039999999999999"/>
    <n v="0.18"/>
    <n v="1.36"/>
    <n v="0"/>
    <n v="0.18"/>
    <n v="5.78"/>
    <n v="11.579999999999998"/>
    <n v="76.83"/>
    <n v="19"/>
    <n v="33"/>
    <s v="Medium"/>
    <s v="Low"/>
    <s v="OK"/>
  </r>
  <r>
    <x v="29"/>
    <n v="0.9"/>
    <n v="1.49"/>
    <n v="98.53"/>
    <n v="58.36"/>
    <n v="4.66"/>
    <n v="90.33"/>
    <n v="7.91"/>
    <n v="0.32"/>
    <n v="1.1299999999999999"/>
    <n v="0.31"/>
    <n v="0.22"/>
    <n v="4.97"/>
    <n v="9.67"/>
    <n v="80.66"/>
    <n v="33"/>
    <n v="35"/>
    <s v="Low"/>
    <s v="Low"/>
    <s v="OK"/>
  </r>
  <r>
    <x v="30"/>
    <n v="2.66"/>
    <n v="6.58"/>
    <n v="91.32"/>
    <n v="53.78"/>
    <n v="14.9"/>
    <n v="80.92"/>
    <n v="13.53"/>
    <n v="1.21"/>
    <n v="2.76"/>
    <n v="1.58"/>
    <n v="0.09"/>
    <n v="9.3699999999999992"/>
    <n v="19.079999999999998"/>
    <n v="61.84"/>
    <n v="13"/>
    <n v="20"/>
    <s v="Medium"/>
    <s v="Medium"/>
    <s v="OK"/>
  </r>
  <r>
    <x v="31"/>
    <n v="1.0900000000000001"/>
    <n v="1.74"/>
    <n v="86.35"/>
    <n v="70.28"/>
    <n v="11.7"/>
    <n v="77.44"/>
    <n v="19.97"/>
    <n v="0.24"/>
    <n v="1.24"/>
    <n v="1.1100000000000001"/>
    <n v="0.08"/>
    <n v="17.25"/>
    <n v="22.559999999999995"/>
    <n v="54.88"/>
    <n v="22"/>
    <n v="10"/>
    <s v="Medium"/>
    <s v="Medium"/>
    <s v="OK"/>
  </r>
  <r>
    <x v="32"/>
    <n v="0"/>
    <n v="2.0299999999999998"/>
    <n v="93.79"/>
    <n v="72.83"/>
    <n v="1.27"/>
    <n v="80.3"/>
    <n v="18.66"/>
    <m/>
    <n v="0"/>
    <n v="1.04"/>
    <n v="0.04"/>
    <n v="15.38"/>
    <n v="19.7"/>
    <n v="60.599999999999994"/>
    <n v="36"/>
    <n v="17"/>
    <s v="Low"/>
    <s v="Medium"/>
    <s v="OK"/>
  </r>
  <r>
    <x v="33"/>
    <n v="2.93"/>
    <n v="2.86"/>
    <n v="92.58"/>
    <n v="69.760000000000005"/>
    <n v="10.039999999999999"/>
    <n v="79.86"/>
    <n v="14.87"/>
    <n v="0.27"/>
    <n v="4.09"/>
    <n v="0.9"/>
    <n v="0.04"/>
    <n v="7.67"/>
    <n v="20.129999999999995"/>
    <n v="59.730000000000004"/>
    <n v="27"/>
    <n v="16"/>
    <s v="Medium"/>
    <s v="Medium"/>
    <s v="OK"/>
  </r>
  <r>
    <x v="34"/>
    <n v="1.72"/>
    <n v="3.54"/>
    <n v="88.93"/>
    <n v="55.93"/>
    <n v="19.11"/>
    <n v="76.760000000000005"/>
    <n v="19.3"/>
    <n v="0.1"/>
    <n v="2.61"/>
    <n v="1.22"/>
    <n v="7.0000000000000007E-2"/>
    <n v="11.29"/>
    <n v="23.23"/>
    <n v="53.53"/>
    <n v="4"/>
    <n v="9"/>
    <s v="Medium"/>
    <s v="Medium"/>
    <s v="OK"/>
  </r>
  <r>
    <x v="35"/>
    <n v="1.39"/>
    <n v="0.1"/>
    <n v="96.42"/>
    <n v="57.28"/>
    <n v="3.49"/>
    <n v="85.62"/>
    <n v="11.61"/>
    <n v="0.23"/>
    <n v="0.45"/>
    <n v="2.09"/>
    <n v="0.04"/>
    <n v="9.15"/>
    <n v="14.379999999999999"/>
    <n v="71.240000000000009"/>
    <n v="34"/>
    <n v="30"/>
    <s v="Low"/>
    <s v="Low"/>
    <s v="OK"/>
  </r>
  <r>
    <x v="36"/>
    <m/>
    <m/>
    <m/>
    <m/>
    <m/>
    <m/>
    <m/>
    <m/>
    <m/>
    <m/>
    <m/>
    <m/>
    <n v="0"/>
    <n v="0"/>
    <e v="#N/A"/>
    <n v="37"/>
    <s v="NA"/>
    <s v="Low"/>
    <s v="CHECK"/>
  </r>
  <r>
    <x v="37"/>
    <m/>
    <m/>
    <m/>
    <m/>
    <m/>
    <m/>
    <m/>
    <m/>
    <m/>
    <m/>
    <m/>
    <m/>
    <n v="0"/>
    <n v="0"/>
    <e v="#N/A"/>
    <n v="37"/>
    <s v="NA"/>
    <s v="Low"/>
    <s v="CHEC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ECF1E-38ED-4482-B6B2-B098D91483D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12" firstHeaderRow="1" firstDataRow="1" firstDataCol="1"/>
  <pivotFields count="20">
    <pivotField axis="axisRow" showAll="0" measureFilter="1" sortType="descending">
      <items count="39">
        <item x="0"/>
        <item x="16"/>
        <item x="15"/>
        <item x="6"/>
        <item x="13"/>
        <item x="10"/>
        <item x="28"/>
        <item x="4"/>
        <item x="11"/>
        <item x="12"/>
        <item x="14"/>
        <item x="19"/>
        <item x="21"/>
        <item x="20"/>
        <item x="22"/>
        <item x="23"/>
        <item x="8"/>
        <item x="9"/>
        <item x="7"/>
        <item x="30"/>
        <item x="31"/>
        <item x="17"/>
        <item x="18"/>
        <item x="34"/>
        <item x="32"/>
        <item x="33"/>
        <item x="37"/>
        <item x="35"/>
        <item x="36"/>
        <item x="3"/>
        <item x="29"/>
        <item x="26"/>
        <item x="25"/>
        <item x="27"/>
        <item x="24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5"/>
    </i>
    <i>
      <x v="2"/>
    </i>
    <i>
      <x v="1"/>
    </i>
    <i>
      <x v="23"/>
    </i>
    <i>
      <x v="8"/>
    </i>
    <i>
      <x v="35"/>
    </i>
    <i>
      <x v="17"/>
    </i>
    <i>
      <x v="12"/>
    </i>
    <i>
      <x v="4"/>
    </i>
    <i>
      <x v="34"/>
    </i>
    <i t="grand">
      <x/>
    </i>
  </rowItems>
  <colItems count="1">
    <i/>
  </colItems>
  <dataFields count="1">
    <dataField name="Marketplace (%)" fld="5" subtotal="average" baseField="0" baseItem="0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9F34D-ACEA-4F63-A9C8-8856B0636F5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40" firstHeaderRow="1" firstDataRow="1" firstDataCol="1"/>
  <pivotFields count="20">
    <pivotField axis="axisRow" showAll="0" sortType="descending">
      <items count="39">
        <item x="0"/>
        <item x="16"/>
        <item x="15"/>
        <item x="6"/>
        <item x="13"/>
        <item x="10"/>
        <item x="28"/>
        <item x="4"/>
        <item x="11"/>
        <item x="12"/>
        <item x="14"/>
        <item x="19"/>
        <item x="21"/>
        <item x="20"/>
        <item x="22"/>
        <item x="23"/>
        <item x="8"/>
        <item x="9"/>
        <item x="7"/>
        <item x="30"/>
        <item x="31"/>
        <item x="17"/>
        <item x="18"/>
        <item x="34"/>
        <item x="32"/>
        <item x="33"/>
        <item x="37"/>
        <item x="35"/>
        <item x="36"/>
        <item x="3"/>
        <item x="29"/>
        <item x="26"/>
        <item x="25"/>
        <item x="27"/>
        <item x="24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9">
    <i>
      <x v="16"/>
    </i>
    <i>
      <x v="30"/>
    </i>
    <i>
      <x v="37"/>
    </i>
    <i>
      <x v="6"/>
    </i>
    <i>
      <x v="22"/>
    </i>
    <i>
      <x v="13"/>
    </i>
    <i>
      <x v="27"/>
    </i>
    <i>
      <x v="33"/>
    </i>
    <i>
      <x v="18"/>
    </i>
    <i>
      <x v="29"/>
    </i>
    <i>
      <x v="36"/>
    </i>
    <i>
      <x v="7"/>
    </i>
    <i>
      <x v="15"/>
    </i>
    <i>
      <x v="31"/>
    </i>
    <i>
      <x v="21"/>
    </i>
    <i>
      <x/>
    </i>
    <i>
      <x v="19"/>
    </i>
    <i>
      <x v="34"/>
    </i>
    <i>
      <x v="11"/>
    </i>
    <i>
      <x v="24"/>
    </i>
    <i>
      <x v="25"/>
    </i>
    <i>
      <x v="3"/>
    </i>
    <i>
      <x v="32"/>
    </i>
    <i>
      <x v="10"/>
    </i>
    <i>
      <x v="9"/>
    </i>
    <i>
      <x v="14"/>
    </i>
    <i>
      <x v="20"/>
    </i>
    <i>
      <x v="23"/>
    </i>
    <i>
      <x v="4"/>
    </i>
    <i>
      <x v="1"/>
    </i>
    <i>
      <x v="12"/>
    </i>
    <i>
      <x v="8"/>
    </i>
    <i>
      <x v="35"/>
    </i>
    <i>
      <x v="17"/>
    </i>
    <i>
      <x v="2"/>
    </i>
    <i>
      <x v="5"/>
    </i>
    <i>
      <x v="26"/>
    </i>
    <i>
      <x v="28"/>
    </i>
    <i t="grand">
      <x/>
    </i>
  </rowItems>
  <colItems count="1">
    <i/>
  </colItems>
  <dataFields count="1">
    <dataField name="Cash (%)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D9C28-D481-45CE-83DB-3EF71172393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40" firstHeaderRow="1" firstDataRow="1" firstDataCol="1"/>
  <pivotFields count="20">
    <pivotField axis="axisRow" showAll="0" sortType="descending">
      <items count="39">
        <item x="0"/>
        <item x="16"/>
        <item x="15"/>
        <item x="6"/>
        <item x="13"/>
        <item x="10"/>
        <item x="28"/>
        <item x="4"/>
        <item x="11"/>
        <item x="12"/>
        <item x="14"/>
        <item x="19"/>
        <item x="21"/>
        <item x="20"/>
        <item x="22"/>
        <item x="23"/>
        <item x="8"/>
        <item x="9"/>
        <item x="7"/>
        <item x="30"/>
        <item x="31"/>
        <item x="17"/>
        <item x="18"/>
        <item x="34"/>
        <item x="32"/>
        <item x="33"/>
        <item x="37"/>
        <item x="35"/>
        <item x="36"/>
        <item x="3"/>
        <item x="29"/>
        <item x="26"/>
        <item x="25"/>
        <item x="27"/>
        <item x="24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9">
    <i>
      <x v="5"/>
    </i>
    <i>
      <x v="2"/>
    </i>
    <i>
      <x v="17"/>
    </i>
    <i>
      <x v="35"/>
    </i>
    <i>
      <x v="8"/>
    </i>
    <i>
      <x v="12"/>
    </i>
    <i>
      <x v="1"/>
    </i>
    <i>
      <x v="4"/>
    </i>
    <i>
      <x v="23"/>
    </i>
    <i>
      <x v="20"/>
    </i>
    <i>
      <x v="14"/>
    </i>
    <i>
      <x v="9"/>
    </i>
    <i>
      <x v="10"/>
    </i>
    <i>
      <x v="32"/>
    </i>
    <i>
      <x v="3"/>
    </i>
    <i>
      <x v="25"/>
    </i>
    <i>
      <x v="24"/>
    </i>
    <i>
      <x v="11"/>
    </i>
    <i>
      <x v="34"/>
    </i>
    <i>
      <x v="19"/>
    </i>
    <i>
      <x/>
    </i>
    <i>
      <x v="21"/>
    </i>
    <i>
      <x v="31"/>
    </i>
    <i>
      <x v="15"/>
    </i>
    <i>
      <x v="7"/>
    </i>
    <i>
      <x v="36"/>
    </i>
    <i>
      <x v="29"/>
    </i>
    <i>
      <x v="18"/>
    </i>
    <i>
      <x v="33"/>
    </i>
    <i>
      <x v="27"/>
    </i>
    <i>
      <x v="13"/>
    </i>
    <i>
      <x v="22"/>
    </i>
    <i>
      <x v="6"/>
    </i>
    <i>
      <x v="37"/>
    </i>
    <i>
      <x v="30"/>
    </i>
    <i>
      <x v="16"/>
    </i>
    <i>
      <x v="28"/>
    </i>
    <i>
      <x v="26"/>
    </i>
    <i t="grand">
      <x/>
    </i>
  </rowItems>
  <colItems count="1">
    <i/>
  </colItems>
  <dataFields count="1">
    <dataField name="Digital Payment (%)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58E387-4250-4960-BD1E-74C09C88A7CA}" name="Table1" displayName="Table1" ref="A1:N39" totalsRowShown="0" headerRowDxfId="40">
  <autoFilter ref="A1:N39" xr:uid="{4C58E387-4250-4960-BD1E-74C09C88A7CA}"/>
  <tableColumns count="14">
    <tableColumn id="1" xr3:uid="{356D05AC-9CD4-4BF5-851C-AD165A5041DD}" name="Provinsi"/>
    <tableColumn id="2" xr3:uid="{F2C6DF57-0678-4172-94AD-615B1E7F6623}" name="Website (%)"/>
    <tableColumn id="3" xr3:uid="{274F31F6-74AC-47BE-B476-13FCB92BD4B0}" name="Email (%)"/>
    <tableColumn id="4" xr3:uid="{E7E501FC-8CBF-4EC1-A178-94BCCB8FD263}" name="Instant Messaging (%)"/>
    <tableColumn id="5" xr3:uid="{E44C1094-F68C-4B44-97BE-E9EF25D73919}" name="Social Media (%)"/>
    <tableColumn id="6" xr3:uid="{3A6FEC15-A072-4641-A892-7558745C4657}" name="Marketplace (%)"/>
    <tableColumn id="7" xr3:uid="{4C7BA5A2-C007-4349-8EAA-3CB20818F4C8}" name="Cash (%)"/>
    <tableColumn id="8" xr3:uid="{67929D0D-D8E4-416C-8E67-22247F8678FD}" name="Bank Transfer (%)"/>
    <tableColumn id="9" xr3:uid="{522E9276-5E37-47FB-9CE5-CC91AA52CEBA}" name="Card (%)"/>
    <tableColumn id="10" xr3:uid="{B8720A3B-654C-49C7-9B61-E5E87678AA44}" name="E-Wallet (%)"/>
    <tableColumn id="11" xr3:uid="{2A33327E-62EB-4DF9-A3E9-CFCF96580662}" name="QRIS (%)"/>
    <tableColumn id="12" xr3:uid="{3D182A92-8E85-47D6-9931-D43C5274B232}" name="E-Commerce Business Share (%)"/>
    <tableColumn id="13" xr3:uid="{6ADE04AB-8093-46C0-9F91-A479D3107924}" name="RSE (%)"/>
    <tableColumn id="14" xr3:uid="{FFCF9247-C245-49BA-95EC-EA9C471D85D0}" name="Missing Check">
      <calculatedColumnFormula>IF(COUNTA(A2:M2)&lt;13,"Ada Missing","Lengkap")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9E1E62-95A4-4591-A7DE-9C0666D6DD2A}" name="Table2" displayName="Table2" ref="A2:B7" totalsRowShown="0">
  <autoFilter ref="A2:B7" xr:uid="{8F9E1E62-95A4-4591-A7DE-9C0666D6DD2A}"/>
  <tableColumns count="2">
    <tableColumn id="1" xr3:uid="{AF751E86-5D27-4D19-A060-690B49A280DB}" name="Column1"/>
    <tableColumn id="2" xr3:uid="{81D97DFB-2208-459C-82EA-F3E32A8981EC}" name="Column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1A452F-B81E-4385-82EE-CD53919328DE}" name="Table3" displayName="Table3" ref="A10:C20" totalsRowShown="0" headerRowDxfId="35" dataDxfId="36">
  <autoFilter ref="A10:C20" xr:uid="{741A452F-B81E-4385-82EE-CD53919328DE}"/>
  <tableColumns count="3">
    <tableColumn id="1" xr3:uid="{07CDB8C6-1479-4803-8D5B-03A5F019860E}" name="Kolom" dataDxfId="39"/>
    <tableColumn id="2" xr3:uid="{4C61F32A-A9DA-4187-ACCD-240C10333F54}" name="Minimum" dataDxfId="38"/>
    <tableColumn id="3" xr3:uid="{5925B25A-A391-4E3B-8DE0-2C4C03CADE93}" name="Maximum" dataDxfId="3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288DCF-1BF4-4CAD-8FBF-9B1D79FE5770}" name="Table4" displayName="Table4" ref="A1:T39" totalsRowShown="0">
  <autoFilter ref="A1:T39" xr:uid="{81288DCF-1BF4-4CAD-8FBF-9B1D79FE5770}"/>
  <tableColumns count="20">
    <tableColumn id="1" xr3:uid="{6DC75226-740C-4A2E-8702-402DC91C36FB}" name="Provinsi"/>
    <tableColumn id="2" xr3:uid="{0F57124D-C677-429B-AAAC-64D20970C148}" name="Website (%)"/>
    <tableColumn id="3" xr3:uid="{5ADE1C94-52F7-44FF-9F43-D1F0063F453B}" name="Email (%)"/>
    <tableColumn id="4" xr3:uid="{8489C47F-8BFB-4265-B0B0-4ED2F762E675}" name="Instant Messaging (%)"/>
    <tableColumn id="5" xr3:uid="{7D455D77-25FD-4FDF-AD9C-FEFDA179575C}" name="Social Media (%)"/>
    <tableColumn id="6" xr3:uid="{FA669525-879B-4C90-954D-F0117E9FB0CC}" name="Marketplace (%)"/>
    <tableColumn id="7" xr3:uid="{AE64B22A-3463-4E21-A729-D49151FC0C02}" name="Cash (%)"/>
    <tableColumn id="8" xr3:uid="{2943FEF1-336E-4CEC-BA97-6ACB0D4C1B91}" name="Bank Transfer (%)"/>
    <tableColumn id="9" xr3:uid="{5E53EDEE-CC36-4012-9775-1F8D5F4CA9CE}" name="Card (%)"/>
    <tableColumn id="10" xr3:uid="{A09D84EA-1B8E-4AD9-BAED-44593ACF2CED}" name="E-Wallet (%)"/>
    <tableColumn id="11" xr3:uid="{4F398D0B-1149-401A-B8AD-9A3FD2975050}" name="QRIS (%)"/>
    <tableColumn id="12" xr3:uid="{A4E5658C-734B-488F-AAAF-819FA43F0801}" name="E-Commerce Business Share (%)"/>
    <tableColumn id="13" xr3:uid="{56F67A18-F7EA-46AE-9F6F-A00386B57DC0}" name="RSE (%)"/>
    <tableColumn id="14" xr3:uid="{35EC0E2D-9252-4622-969E-9242667C4582}" name="Digital Payment (%)">
      <calculatedColumnFormula>SUM(H2:K2)</calculatedColumnFormula>
    </tableColumn>
    <tableColumn id="15" xr3:uid="{C880F604-ED05-4774-B117-77E2F382AC37}" name="Cash vs Digital (%)">
      <calculatedColumnFormula>G2-N2</calculatedColumnFormula>
    </tableColumn>
    <tableColumn id="16" xr3:uid="{CD2D2EBF-F0AD-47B4-A693-C2401B6F372E}" name="Marketplace Rank">
      <calculatedColumnFormula>_xlfn.RANK.EQ(F2,$F$2:$F$39,0)</calculatedColumnFormula>
    </tableColumn>
    <tableColumn id="17" xr3:uid="{94B80ABC-1A75-418E-8C42-B94CCC9D2797}" name="Digital Payment Rank">
      <calculatedColumnFormula>_xlfn.RANK.EQ(N2,$N$2:$N$39,0)</calculatedColumnFormula>
    </tableColumn>
    <tableColumn id="18" xr3:uid="{2B1ED990-55CF-4103-BDD8-52E7D54201F6}" name="Marketplace Category">
      <calculatedColumnFormula>IF(F2="","NA",IF(F2&gt;=20,"High",IF(F2&gt;=10,"Medium","Low")))</calculatedColumnFormula>
    </tableColumn>
    <tableColumn id="19" xr3:uid="{718B628E-C992-4F7D-B77C-36F77C4D83D5}" name="Digital Payment Category">
      <calculatedColumnFormula>IF(N2="","NA",IF(N2&gt;=30,"High",IF(N2&gt;=15,"Medium","Low")))</calculatedColumnFormula>
    </tableColumn>
    <tableColumn id="20" xr3:uid="{9CE40836-FB22-47DF-97C0-69F7603C05AB}" name="Data Status">
      <calculatedColumnFormula>IF(OR(ISERROR(N2),ISERROR(O2),ISERROR(P2),ISERROR(Q2)),"CHECK","OK")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AC1F57-5941-4E5B-8EAB-1F6940DCB47D}" name="Table5" displayName="Table5" ref="A1:B6" totalsRowShown="0" headerRowDxfId="31" dataDxfId="32">
  <autoFilter ref="A1:B6" xr:uid="{0AAC1F57-5941-4E5B-8EAB-1F6940DCB47D}"/>
  <tableColumns count="2">
    <tableColumn id="1" xr3:uid="{980F9BCE-711B-42CA-8BF9-941B796522A9}" name="Kanal Penjualan" dataDxfId="34"/>
    <tableColumn id="2" xr3:uid="{0BB0AFB0-078E-4C84-8A72-A3A8378E4540}" name="Rata-rata (%)" dataDxfId="3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385528-0444-4872-B610-D2D8C6846D86}" name="Table6" displayName="Table6" ref="D1:E6" totalsRowShown="0" headerRowDxfId="27" dataDxfId="28">
  <autoFilter ref="D1:E6" xr:uid="{0A385528-0444-4872-B610-D2D8C6846D86}"/>
  <tableColumns count="2">
    <tableColumn id="1" xr3:uid="{6AF2D398-B94B-4A7A-834B-051C02F6D087}" name="Metode Pembayaran" dataDxfId="30"/>
    <tableColumn id="2" xr3:uid="{0B1241E0-6B14-413D-98AA-E35994F5CFD4}" name="Rata-rata (%)" dataDxfId="2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550002-4BF6-4E54-97CD-62530EDBEB74}" name="Table7" displayName="Table7" ref="A9:B13" totalsRowShown="0" headerRowDxfId="23" dataDxfId="24">
  <autoFilter ref="A9:B13" xr:uid="{7A550002-4BF6-4E54-97CD-62530EDBEB74}"/>
  <tableColumns count="2">
    <tableColumn id="1" xr3:uid="{79C2A05B-EA94-4BD9-94F8-2C2E0FF6599B}" name="Analisis Marketplace" dataDxfId="26"/>
    <tableColumn id="2" xr3:uid="{F97D75C7-6967-4897-A183-956F4AE8645C}" name="Hasil" dataDxfId="2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26F95A-9051-4A90-A718-065C99DB858F}" name="Table8" displayName="Table8" ref="D9:E13" totalsRowShown="0" headerRowDxfId="19" dataDxfId="20">
  <autoFilter ref="D9:E13" xr:uid="{4C26F95A-9051-4A90-A718-065C99DB858F}"/>
  <tableColumns count="2">
    <tableColumn id="1" xr3:uid="{79BA9C68-DD75-4DDC-8010-EEC538C246D0}" name="Analisis Digital Payment" dataDxfId="22"/>
    <tableColumn id="2" xr3:uid="{20091357-48D7-4BFA-B69A-C504F75E2BD9}" name="Hasil" dataDxfId="21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8326276-522B-42BF-89BD-B68472E1C521}" name="Table9" displayName="Table9" ref="A16:B19" totalsRowShown="0" headerRowDxfId="17">
  <autoFilter ref="A16:B19" xr:uid="{38326276-522B-42BF-89BD-B68472E1C521}"/>
  <tableColumns count="2">
    <tableColumn id="1" xr3:uid="{497393CB-96B5-408C-817C-70DF8C3B82F7}" name="Analisis Cash vs Digital" dataDxfId="18"/>
    <tableColumn id="2" xr3:uid="{25048BBA-AE11-43A7-976C-588942C65AC4}" name="Rata-rata (%)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EBD300A-7CC6-4108-94F4-0CE40D7E4626}" name="Table10" displayName="Table10" ref="D16:E19" totalsRowShown="0" headerRowDxfId="15">
  <autoFilter ref="D16:E19" xr:uid="{6EBD300A-7CC6-4108-94F4-0CE40D7E4626}"/>
  <tableColumns count="2">
    <tableColumn id="1" xr3:uid="{6E18AC49-DE19-4ECF-B09C-A17050E9CC12}" name="Kategori Marketplace" dataDxfId="16"/>
    <tableColumn id="2" xr3:uid="{036E040D-AF83-487A-A94D-29F88F0355DA}" name="Jumlah Provinsi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74BA8B1-0A9C-4CA4-A121-7CB55FF34AE9}" name="Table11" displayName="Table11" ref="G16:H19" totalsRowShown="0" headerRowDxfId="13">
  <autoFilter ref="G16:H19" xr:uid="{974BA8B1-0A9C-4CA4-A121-7CB55FF34AE9}"/>
  <tableColumns count="2">
    <tableColumn id="1" xr3:uid="{DF46CE67-7B2F-4988-8FA9-41BCE1EBE6C4}" name="Kategori Digital Payment" dataDxfId="14"/>
    <tableColumn id="2" xr3:uid="{A66088BB-7AF1-4C5E-B48A-0D6B1D3E057F}" name="Jumlah Provinsi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DF568FB-7B21-4C60-B1E9-CF1C9EF06820}" name="Table12" displayName="Table12" ref="A22:C32" totalsRowShown="0" headerRowDxfId="8" dataDxfId="9">
  <autoFilter ref="A22:C32" xr:uid="{8DF568FB-7B21-4C60-B1E9-CF1C9EF06820}"/>
  <tableColumns count="3">
    <tableColumn id="1" xr3:uid="{36F92C36-9E33-4AA2-849D-6BC56FC4D6B2}" name="Rank" dataDxfId="12"/>
    <tableColumn id="2" xr3:uid="{071B3337-2165-4BF5-B184-B1B4B9ADEBD8}" name="Provinsi" dataDxfId="11">
      <calculatedColumnFormula>INDEX('03_Clean_Data'!$A$2:$A$39,MATCH(A23,'03_Clean_Data'!$P$2:$P$39,0))</calculatedColumnFormula>
    </tableColumn>
    <tableColumn id="3" xr3:uid="{575486B7-BB4F-4051-9209-EBF3A865C742}" name="Marketplace (%)" dataDxfId="10">
      <calculatedColumnFormula>INDEX('03_Clean_Data'!$F$2:$F$39,MATCH(A23,'03_Clean_Data'!$P$2:$P$39,0))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A38EA21-6E13-4F0B-9692-E4C6B7CDEB93}" name="Table13" displayName="Table13" ref="J1:K6" totalsRowShown="0" headerRowDxfId="4" dataDxfId="5">
  <autoFilter ref="J1:K6" xr:uid="{8A38EA21-6E13-4F0B-9692-E4C6B7CDEB93}"/>
  <tableColumns count="2">
    <tableColumn id="1" xr3:uid="{2A6CCB23-35DA-43A1-8DD6-CECD9FA0154C}" name="Kanal Penjualan" dataDxfId="7"/>
    <tableColumn id="2" xr3:uid="{12935E49-DF36-4619-89B5-50C18BD20479}" name="Rata-rata (%)" dataDxfId="6">
      <calculatedColumnFormula>'04_Analysis'!B2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D8176B1-32FE-4364-B01F-29FB3EF478E7}" name="Table14" displayName="Table14" ref="J9:K14" totalsRowShown="0" headerRowDxfId="0" dataDxfId="1">
  <autoFilter ref="J9:K14" xr:uid="{8D8176B1-32FE-4364-B01F-29FB3EF478E7}"/>
  <tableColumns count="2">
    <tableColumn id="1" xr3:uid="{3A5B441B-03ED-4C14-97FC-C23152603BFA}" name="Metode Pembayaran" dataDxfId="3"/>
    <tableColumn id="2" xr3:uid="{F6D85905-3526-4118-8049-355359EBE64D}" name="Rata-rata (%)" dataDxfId="2">
      <calculatedColumnFormula>'04_Analysis'!E2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workbookViewId="0">
      <pane ySplit="1" topLeftCell="A2" activePane="bottomLeft" state="frozen"/>
      <selection pane="bottomLeft" activeCell="O14" sqref="O14"/>
    </sheetView>
  </sheetViews>
  <sheetFormatPr defaultRowHeight="15" x14ac:dyDescent="0.25"/>
  <cols>
    <col min="1" max="3" width="22" customWidth="1"/>
    <col min="4" max="4" width="22.5703125" customWidth="1"/>
    <col min="5" max="11" width="22" customWidth="1"/>
    <col min="12" max="12" width="31.42578125" customWidth="1"/>
    <col min="13" max="13" width="22" customWidth="1"/>
    <col min="14" max="14" width="15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76</v>
      </c>
    </row>
    <row r="2" spans="1:14" x14ac:dyDescent="0.25">
      <c r="A2" t="s">
        <v>13</v>
      </c>
      <c r="B2">
        <v>0.39</v>
      </c>
      <c r="C2">
        <v>2.89</v>
      </c>
      <c r="D2">
        <v>98.72</v>
      </c>
      <c r="E2">
        <v>47.11</v>
      </c>
      <c r="F2">
        <v>5.5</v>
      </c>
      <c r="G2">
        <v>81.39</v>
      </c>
      <c r="H2">
        <v>17.739999999999998</v>
      </c>
      <c r="I2">
        <v>0.05</v>
      </c>
      <c r="J2">
        <v>0.36</v>
      </c>
      <c r="K2">
        <v>0.45</v>
      </c>
      <c r="L2">
        <v>0.88</v>
      </c>
      <c r="M2">
        <v>5.84</v>
      </c>
      <c r="N2" t="str">
        <f>IF(COUNTA(A2:M2)&lt;13,"Ada Missing","Lengkap")</f>
        <v>Lengkap</v>
      </c>
    </row>
    <row r="3" spans="1:14" x14ac:dyDescent="0.25">
      <c r="A3" t="s">
        <v>14</v>
      </c>
      <c r="B3">
        <v>0.98</v>
      </c>
      <c r="C3">
        <v>6.08</v>
      </c>
      <c r="D3">
        <v>97.67</v>
      </c>
      <c r="E3">
        <v>53.82</v>
      </c>
      <c r="F3">
        <v>8.2799999999999994</v>
      </c>
      <c r="G3">
        <v>89.35</v>
      </c>
      <c r="H3">
        <v>9.11</v>
      </c>
      <c r="I3">
        <v>0.03</v>
      </c>
      <c r="J3">
        <v>1.38</v>
      </c>
      <c r="K3">
        <v>0.12</v>
      </c>
      <c r="L3">
        <v>3.8</v>
      </c>
      <c r="M3">
        <v>6.19</v>
      </c>
      <c r="N3" t="str">
        <f t="shared" ref="N3:N39" si="0">IF(COUNTA(A3:M3)&lt;13,"Ada Missing","Lengkap")</f>
        <v>Lengkap</v>
      </c>
    </row>
    <row r="4" spans="1:14" x14ac:dyDescent="0.25">
      <c r="A4" t="s">
        <v>15</v>
      </c>
      <c r="B4">
        <v>1.23</v>
      </c>
      <c r="C4">
        <v>1.44</v>
      </c>
      <c r="D4">
        <v>94.82</v>
      </c>
      <c r="E4">
        <v>39</v>
      </c>
      <c r="F4">
        <v>16.940000000000001</v>
      </c>
      <c r="G4">
        <v>73.89</v>
      </c>
      <c r="H4">
        <v>21.47</v>
      </c>
      <c r="I4">
        <v>0.28000000000000003</v>
      </c>
      <c r="J4">
        <v>3.9</v>
      </c>
      <c r="K4">
        <v>0.46</v>
      </c>
      <c r="L4">
        <v>1.05</v>
      </c>
      <c r="M4">
        <v>5.73</v>
      </c>
      <c r="N4" t="str">
        <f t="shared" si="0"/>
        <v>Lengkap</v>
      </c>
    </row>
    <row r="5" spans="1:14" x14ac:dyDescent="0.25">
      <c r="A5" t="s">
        <v>16</v>
      </c>
      <c r="B5">
        <v>2.39</v>
      </c>
      <c r="C5">
        <v>4.97</v>
      </c>
      <c r="D5">
        <v>94.77</v>
      </c>
      <c r="E5">
        <v>50.55</v>
      </c>
      <c r="F5">
        <v>14.55</v>
      </c>
      <c r="G5">
        <v>83.76</v>
      </c>
      <c r="H5">
        <v>13.33</v>
      </c>
      <c r="I5">
        <v>0.16</v>
      </c>
      <c r="J5">
        <v>2.0699999999999998</v>
      </c>
      <c r="K5">
        <v>0.68</v>
      </c>
      <c r="L5">
        <v>1.68</v>
      </c>
      <c r="M5">
        <v>4.33</v>
      </c>
      <c r="N5" t="str">
        <f t="shared" si="0"/>
        <v>Lengkap</v>
      </c>
    </row>
    <row r="6" spans="1:14" x14ac:dyDescent="0.25">
      <c r="A6" t="s">
        <v>17</v>
      </c>
      <c r="B6">
        <v>0.84</v>
      </c>
      <c r="C6">
        <v>3.12</v>
      </c>
      <c r="D6">
        <v>97.84</v>
      </c>
      <c r="E6">
        <v>47.52</v>
      </c>
      <c r="F6">
        <v>10.69</v>
      </c>
      <c r="G6">
        <v>83.17</v>
      </c>
      <c r="H6">
        <v>14.1</v>
      </c>
      <c r="I6">
        <v>0.55000000000000004</v>
      </c>
      <c r="J6">
        <v>1.85</v>
      </c>
      <c r="K6">
        <v>0.34</v>
      </c>
      <c r="L6">
        <v>0.8</v>
      </c>
      <c r="M6">
        <v>5.53</v>
      </c>
      <c r="N6" t="str">
        <f t="shared" si="0"/>
        <v>Lengkap</v>
      </c>
    </row>
    <row r="7" spans="1:14" x14ac:dyDescent="0.25">
      <c r="A7" t="s">
        <v>18</v>
      </c>
      <c r="B7">
        <v>1.1200000000000001</v>
      </c>
      <c r="C7">
        <v>3.23</v>
      </c>
      <c r="D7">
        <v>94.62</v>
      </c>
      <c r="E7">
        <v>46.63</v>
      </c>
      <c r="F7">
        <v>15.18</v>
      </c>
      <c r="G7">
        <v>83.63</v>
      </c>
      <c r="H7">
        <v>12.74</v>
      </c>
      <c r="I7">
        <v>0.12</v>
      </c>
      <c r="J7">
        <v>3.25</v>
      </c>
      <c r="K7">
        <v>0.25</v>
      </c>
      <c r="L7">
        <v>0.91</v>
      </c>
      <c r="M7">
        <v>6.47</v>
      </c>
      <c r="N7" t="str">
        <f t="shared" si="0"/>
        <v>Lengkap</v>
      </c>
    </row>
    <row r="8" spans="1:14" x14ac:dyDescent="0.25">
      <c r="A8" t="s">
        <v>19</v>
      </c>
      <c r="B8">
        <v>1.57</v>
      </c>
      <c r="C8">
        <v>4.01</v>
      </c>
      <c r="D8">
        <v>97.04</v>
      </c>
      <c r="E8">
        <v>55.82</v>
      </c>
      <c r="F8">
        <v>10.35</v>
      </c>
      <c r="G8">
        <v>79.489999999999995</v>
      </c>
      <c r="H8">
        <v>17.46</v>
      </c>
      <c r="I8">
        <v>0.08</v>
      </c>
      <c r="J8">
        <v>0.85</v>
      </c>
      <c r="K8">
        <v>2.12</v>
      </c>
      <c r="L8">
        <v>0.66</v>
      </c>
      <c r="M8">
        <v>7.47</v>
      </c>
      <c r="N8" t="str">
        <f t="shared" si="0"/>
        <v>Lengkap</v>
      </c>
    </row>
    <row r="9" spans="1:14" x14ac:dyDescent="0.25">
      <c r="A9" t="s">
        <v>20</v>
      </c>
      <c r="B9">
        <v>1.6</v>
      </c>
      <c r="C9">
        <v>1.93</v>
      </c>
      <c r="D9">
        <v>97.74</v>
      </c>
      <c r="E9">
        <v>34.799999999999997</v>
      </c>
      <c r="F9">
        <v>11.78</v>
      </c>
      <c r="G9">
        <v>84.55</v>
      </c>
      <c r="H9">
        <v>10.25</v>
      </c>
      <c r="I9">
        <v>0.7</v>
      </c>
      <c r="J9">
        <v>3.69</v>
      </c>
      <c r="K9">
        <v>0.81</v>
      </c>
      <c r="L9">
        <v>1.52</v>
      </c>
      <c r="M9">
        <v>7.68</v>
      </c>
      <c r="N9" t="str">
        <f t="shared" si="0"/>
        <v>Lengkap</v>
      </c>
    </row>
    <row r="10" spans="1:14" x14ac:dyDescent="0.25">
      <c r="A10" t="s">
        <v>21</v>
      </c>
      <c r="B10">
        <v>1.07</v>
      </c>
      <c r="C10">
        <v>1.91</v>
      </c>
      <c r="D10">
        <v>99.1</v>
      </c>
      <c r="E10">
        <v>41.7</v>
      </c>
      <c r="F10">
        <v>3.25</v>
      </c>
      <c r="G10">
        <v>90.69</v>
      </c>
      <c r="H10">
        <v>8.6</v>
      </c>
      <c r="I10">
        <v>0.04</v>
      </c>
      <c r="J10">
        <v>0.49</v>
      </c>
      <c r="K10">
        <v>0.17</v>
      </c>
      <c r="L10">
        <v>0.49</v>
      </c>
      <c r="M10">
        <v>4.82</v>
      </c>
      <c r="N10" t="str">
        <f t="shared" si="0"/>
        <v>Lengkap</v>
      </c>
    </row>
    <row r="11" spans="1:14" x14ac:dyDescent="0.25">
      <c r="A11" t="s">
        <v>22</v>
      </c>
      <c r="B11">
        <v>2.59</v>
      </c>
      <c r="C11">
        <v>1.66</v>
      </c>
      <c r="D11">
        <v>96.19</v>
      </c>
      <c r="E11">
        <v>42.04</v>
      </c>
      <c r="F11">
        <v>16.89</v>
      </c>
      <c r="G11">
        <v>73.650000000000006</v>
      </c>
      <c r="H11">
        <v>19.309999999999999</v>
      </c>
      <c r="I11">
        <v>0.48</v>
      </c>
      <c r="J11">
        <v>4.99</v>
      </c>
      <c r="K11">
        <v>1.57</v>
      </c>
      <c r="L11">
        <v>1.05</v>
      </c>
      <c r="M11">
        <v>10.66</v>
      </c>
      <c r="N11" t="str">
        <f t="shared" si="0"/>
        <v>Lengkap</v>
      </c>
    </row>
    <row r="12" spans="1:14" x14ac:dyDescent="0.25">
      <c r="A12" t="s">
        <v>23</v>
      </c>
      <c r="B12">
        <v>3.65</v>
      </c>
      <c r="C12">
        <v>7.86</v>
      </c>
      <c r="D12">
        <v>84.57</v>
      </c>
      <c r="E12">
        <v>22.3</v>
      </c>
      <c r="F12">
        <v>41.4</v>
      </c>
      <c r="G12">
        <v>45.54</v>
      </c>
      <c r="H12">
        <v>27.23</v>
      </c>
      <c r="I12">
        <v>1.1399999999999999</v>
      </c>
      <c r="J12">
        <v>23.07</v>
      </c>
      <c r="K12">
        <v>3.02</v>
      </c>
      <c r="L12">
        <v>8.99</v>
      </c>
      <c r="M12">
        <v>4.79</v>
      </c>
      <c r="N12" t="str">
        <f t="shared" si="0"/>
        <v>Lengkap</v>
      </c>
    </row>
    <row r="13" spans="1:14" x14ac:dyDescent="0.25">
      <c r="A13" t="s">
        <v>24</v>
      </c>
      <c r="B13">
        <v>2.37</v>
      </c>
      <c r="C13">
        <v>3.28</v>
      </c>
      <c r="D13">
        <v>94.66</v>
      </c>
      <c r="E13">
        <v>27.29</v>
      </c>
      <c r="F13">
        <v>18.420000000000002</v>
      </c>
      <c r="G13">
        <v>74.22</v>
      </c>
      <c r="H13">
        <v>18.14</v>
      </c>
      <c r="I13">
        <v>0.36</v>
      </c>
      <c r="J13">
        <v>6.41</v>
      </c>
      <c r="K13">
        <v>0.86</v>
      </c>
      <c r="L13">
        <v>21.43</v>
      </c>
      <c r="M13">
        <v>4.4000000000000004</v>
      </c>
      <c r="N13" t="str">
        <f t="shared" si="0"/>
        <v>Lengkap</v>
      </c>
    </row>
    <row r="14" spans="1:14" x14ac:dyDescent="0.25">
      <c r="A14" t="s">
        <v>25</v>
      </c>
      <c r="B14">
        <v>0.69</v>
      </c>
      <c r="C14">
        <v>0.74</v>
      </c>
      <c r="D14">
        <v>98.01</v>
      </c>
      <c r="E14">
        <v>28.79</v>
      </c>
      <c r="F14">
        <v>13.93</v>
      </c>
      <c r="G14">
        <v>78.739999999999995</v>
      </c>
      <c r="H14">
        <v>16.53</v>
      </c>
      <c r="I14">
        <v>0.19</v>
      </c>
      <c r="J14">
        <v>4.05</v>
      </c>
      <c r="K14">
        <v>0.49</v>
      </c>
      <c r="L14">
        <v>17.66</v>
      </c>
      <c r="M14">
        <v>5.13</v>
      </c>
      <c r="N14" t="str">
        <f t="shared" si="0"/>
        <v>Lengkap</v>
      </c>
    </row>
    <row r="15" spans="1:14" x14ac:dyDescent="0.25">
      <c r="A15" t="s">
        <v>26</v>
      </c>
      <c r="B15">
        <v>1.41</v>
      </c>
      <c r="C15">
        <v>0.19</v>
      </c>
      <c r="D15">
        <v>96.48</v>
      </c>
      <c r="E15">
        <v>24.01</v>
      </c>
      <c r="F15">
        <v>16.03</v>
      </c>
      <c r="G15">
        <v>76.33</v>
      </c>
      <c r="H15">
        <v>15.72</v>
      </c>
      <c r="I15">
        <v>0.16</v>
      </c>
      <c r="J15">
        <v>6.3</v>
      </c>
      <c r="K15">
        <v>1.49</v>
      </c>
      <c r="L15">
        <v>5.08</v>
      </c>
      <c r="M15">
        <v>6.26</v>
      </c>
      <c r="N15" t="str">
        <f t="shared" si="0"/>
        <v>Lengkap</v>
      </c>
    </row>
    <row r="16" spans="1:14" x14ac:dyDescent="0.25">
      <c r="A16" t="s">
        <v>27</v>
      </c>
      <c r="B16">
        <v>0.84</v>
      </c>
      <c r="C16">
        <v>3.63</v>
      </c>
      <c r="D16">
        <v>98.19</v>
      </c>
      <c r="E16">
        <v>31.6</v>
      </c>
      <c r="F16">
        <v>15.08</v>
      </c>
      <c r="G16">
        <v>78.86</v>
      </c>
      <c r="H16">
        <v>17.399999999999999</v>
      </c>
      <c r="I16">
        <v>0.14000000000000001</v>
      </c>
      <c r="J16">
        <v>2.83</v>
      </c>
      <c r="K16">
        <v>0.78</v>
      </c>
      <c r="L16">
        <v>18.309999999999999</v>
      </c>
      <c r="M16">
        <v>6.02</v>
      </c>
      <c r="N16" t="str">
        <f t="shared" si="0"/>
        <v>Lengkap</v>
      </c>
    </row>
    <row r="17" spans="1:14" x14ac:dyDescent="0.25">
      <c r="A17" t="s">
        <v>28</v>
      </c>
      <c r="B17">
        <v>3.22</v>
      </c>
      <c r="C17">
        <v>6.15</v>
      </c>
      <c r="D17">
        <v>92.13</v>
      </c>
      <c r="E17">
        <v>23.98</v>
      </c>
      <c r="F17">
        <v>26.57</v>
      </c>
      <c r="G17">
        <v>70.52</v>
      </c>
      <c r="H17">
        <v>17.3</v>
      </c>
      <c r="I17">
        <v>0.28999999999999998</v>
      </c>
      <c r="J17">
        <v>10.32</v>
      </c>
      <c r="K17">
        <v>1.57</v>
      </c>
      <c r="L17">
        <v>3.57</v>
      </c>
      <c r="M17">
        <v>4.83</v>
      </c>
      <c r="N17" t="str">
        <f t="shared" si="0"/>
        <v>Lengkap</v>
      </c>
    </row>
    <row r="18" spans="1:14" x14ac:dyDescent="0.25">
      <c r="A18" t="s">
        <v>29</v>
      </c>
      <c r="B18">
        <v>5.45</v>
      </c>
      <c r="C18">
        <v>6.92</v>
      </c>
      <c r="D18">
        <v>93.61</v>
      </c>
      <c r="E18">
        <v>33.049999999999997</v>
      </c>
      <c r="F18">
        <v>22.85</v>
      </c>
      <c r="G18">
        <v>75.180000000000007</v>
      </c>
      <c r="H18">
        <v>15.34</v>
      </c>
      <c r="I18">
        <v>5.36</v>
      </c>
      <c r="J18">
        <v>1.98</v>
      </c>
      <c r="K18">
        <v>2.14</v>
      </c>
      <c r="L18">
        <v>2.12</v>
      </c>
      <c r="M18">
        <v>5.4</v>
      </c>
      <c r="N18" t="str">
        <f t="shared" si="0"/>
        <v>Lengkap</v>
      </c>
    </row>
    <row r="19" spans="1:14" x14ac:dyDescent="0.25">
      <c r="A19" t="s">
        <v>30</v>
      </c>
      <c r="B19">
        <v>1.97</v>
      </c>
      <c r="C19">
        <v>1.46</v>
      </c>
      <c r="D19">
        <v>97.76</v>
      </c>
      <c r="E19">
        <v>63.03</v>
      </c>
      <c r="F19">
        <v>10.27</v>
      </c>
      <c r="G19">
        <v>81.66</v>
      </c>
      <c r="H19">
        <v>15.23</v>
      </c>
      <c r="I19">
        <v>0.03</v>
      </c>
      <c r="J19">
        <v>2.4900000000000002</v>
      </c>
      <c r="K19">
        <v>0.59</v>
      </c>
      <c r="L19">
        <v>1.01</v>
      </c>
      <c r="M19">
        <v>4.7</v>
      </c>
      <c r="N19" t="str">
        <f t="shared" si="0"/>
        <v>Lengkap</v>
      </c>
    </row>
    <row r="20" spans="1:14" x14ac:dyDescent="0.25">
      <c r="A20" t="s">
        <v>31</v>
      </c>
      <c r="B20">
        <v>1.4</v>
      </c>
      <c r="C20">
        <v>2.5499999999999998</v>
      </c>
      <c r="D20">
        <v>93.38</v>
      </c>
      <c r="E20">
        <v>67.55</v>
      </c>
      <c r="F20">
        <v>14.13</v>
      </c>
      <c r="G20">
        <v>85.96</v>
      </c>
      <c r="H20">
        <v>11.19</v>
      </c>
      <c r="I20">
        <v>0.27</v>
      </c>
      <c r="J20">
        <v>1.22</v>
      </c>
      <c r="K20">
        <v>1.35</v>
      </c>
      <c r="L20">
        <v>0.52</v>
      </c>
      <c r="M20">
        <v>6.17</v>
      </c>
      <c r="N20" t="str">
        <f t="shared" si="0"/>
        <v>Lengkap</v>
      </c>
    </row>
    <row r="21" spans="1:14" x14ac:dyDescent="0.25">
      <c r="A21" t="s">
        <v>32</v>
      </c>
      <c r="B21">
        <v>1.24</v>
      </c>
      <c r="C21">
        <v>1.79</v>
      </c>
      <c r="D21">
        <v>94.96</v>
      </c>
      <c r="E21">
        <v>50.7</v>
      </c>
      <c r="F21">
        <v>12.49</v>
      </c>
      <c r="G21">
        <v>80.709999999999994</v>
      </c>
      <c r="H21">
        <v>16.86</v>
      </c>
      <c r="I21">
        <v>0.36</v>
      </c>
      <c r="J21">
        <v>0.99</v>
      </c>
      <c r="K21">
        <v>1.08</v>
      </c>
      <c r="L21">
        <v>0.67</v>
      </c>
      <c r="M21">
        <v>5.18</v>
      </c>
      <c r="N21" t="str">
        <f t="shared" si="0"/>
        <v>Lengkap</v>
      </c>
    </row>
    <row r="22" spans="1:14" x14ac:dyDescent="0.25">
      <c r="A22" t="s">
        <v>33</v>
      </c>
      <c r="B22">
        <v>0.42</v>
      </c>
      <c r="C22">
        <v>1.57</v>
      </c>
      <c r="D22">
        <v>97.13</v>
      </c>
      <c r="E22">
        <v>54.33</v>
      </c>
      <c r="F22">
        <v>8.5</v>
      </c>
      <c r="G22">
        <v>85.85</v>
      </c>
      <c r="H22">
        <v>12.11</v>
      </c>
      <c r="I22">
        <v>0.21</v>
      </c>
      <c r="J22">
        <v>0.91</v>
      </c>
      <c r="K22">
        <v>0.91</v>
      </c>
      <c r="L22">
        <v>0.49</v>
      </c>
      <c r="M22">
        <v>5.09</v>
      </c>
      <c r="N22" t="str">
        <f t="shared" si="0"/>
        <v>Lengkap</v>
      </c>
    </row>
    <row r="23" spans="1:14" x14ac:dyDescent="0.25">
      <c r="A23" t="s">
        <v>34</v>
      </c>
      <c r="B23">
        <v>1.24</v>
      </c>
      <c r="C23">
        <v>2.33</v>
      </c>
      <c r="D23">
        <v>94.77</v>
      </c>
      <c r="E23">
        <v>35.380000000000003</v>
      </c>
      <c r="F23">
        <v>16.489999999999998</v>
      </c>
      <c r="G23">
        <v>74.47</v>
      </c>
      <c r="H23">
        <v>18.93</v>
      </c>
      <c r="I23">
        <v>0.45</v>
      </c>
      <c r="J23">
        <v>5.41</v>
      </c>
      <c r="K23">
        <v>0.73</v>
      </c>
      <c r="L23">
        <v>1.05</v>
      </c>
      <c r="M23">
        <v>5.92</v>
      </c>
      <c r="N23" t="str">
        <f t="shared" si="0"/>
        <v>Lengkap</v>
      </c>
    </row>
    <row r="24" spans="1:14" x14ac:dyDescent="0.25">
      <c r="A24" t="s">
        <v>35</v>
      </c>
      <c r="B24">
        <v>1.59</v>
      </c>
      <c r="C24">
        <v>1.54</v>
      </c>
      <c r="D24">
        <v>97.48</v>
      </c>
      <c r="E24">
        <v>54.96</v>
      </c>
      <c r="F24">
        <v>12.89</v>
      </c>
      <c r="G24">
        <v>78.28</v>
      </c>
      <c r="H24">
        <v>18.11</v>
      </c>
      <c r="I24">
        <v>0.27</v>
      </c>
      <c r="J24">
        <v>2.5299999999999998</v>
      </c>
      <c r="K24">
        <v>0.81</v>
      </c>
      <c r="L24">
        <v>1.5</v>
      </c>
      <c r="M24">
        <v>4.5999999999999996</v>
      </c>
      <c r="N24" t="str">
        <f t="shared" si="0"/>
        <v>Lengkap</v>
      </c>
    </row>
    <row r="25" spans="1:14" x14ac:dyDescent="0.25">
      <c r="A25" t="s">
        <v>36</v>
      </c>
      <c r="B25">
        <v>1.52</v>
      </c>
      <c r="C25">
        <v>2.2400000000000002</v>
      </c>
      <c r="D25">
        <v>98.02</v>
      </c>
      <c r="E25">
        <v>59.32</v>
      </c>
      <c r="F25">
        <v>8.5500000000000007</v>
      </c>
      <c r="G25">
        <v>82.03</v>
      </c>
      <c r="H25">
        <v>15.4</v>
      </c>
      <c r="I25">
        <v>0.06</v>
      </c>
      <c r="J25">
        <v>0.83</v>
      </c>
      <c r="K25">
        <v>1.68</v>
      </c>
      <c r="L25">
        <v>0.21</v>
      </c>
      <c r="M25">
        <v>4.3499999999999996</v>
      </c>
      <c r="N25" t="str">
        <f t="shared" si="0"/>
        <v>Lengkap</v>
      </c>
    </row>
    <row r="26" spans="1:14" x14ac:dyDescent="0.25">
      <c r="A26" t="s">
        <v>37</v>
      </c>
      <c r="B26">
        <v>7.49</v>
      </c>
      <c r="C26">
        <v>9.44</v>
      </c>
      <c r="D26">
        <v>88.05</v>
      </c>
      <c r="E26">
        <v>82.91</v>
      </c>
      <c r="F26">
        <v>15.21</v>
      </c>
      <c r="G26">
        <v>80.86</v>
      </c>
      <c r="H26">
        <v>13.49</v>
      </c>
      <c r="I26">
        <v>0.59</v>
      </c>
      <c r="J26">
        <v>3.75</v>
      </c>
      <c r="K26">
        <v>1.31</v>
      </c>
      <c r="L26">
        <v>0.48</v>
      </c>
      <c r="M26">
        <v>7.88</v>
      </c>
      <c r="N26" t="str">
        <f t="shared" si="0"/>
        <v>Lengkap</v>
      </c>
    </row>
    <row r="27" spans="1:14" x14ac:dyDescent="0.25">
      <c r="A27" t="s">
        <v>38</v>
      </c>
      <c r="B27">
        <v>0.63</v>
      </c>
      <c r="C27">
        <v>3.64</v>
      </c>
      <c r="D27">
        <v>91.46</v>
      </c>
      <c r="E27">
        <v>70.400000000000006</v>
      </c>
      <c r="F27">
        <v>11.45</v>
      </c>
      <c r="G27">
        <v>79.23</v>
      </c>
      <c r="H27">
        <v>18.850000000000001</v>
      </c>
      <c r="I27">
        <v>0.1</v>
      </c>
      <c r="J27">
        <v>0.51</v>
      </c>
      <c r="K27">
        <v>1.31</v>
      </c>
      <c r="L27">
        <v>0.5</v>
      </c>
      <c r="M27">
        <v>5.28</v>
      </c>
      <c r="N27" t="str">
        <f t="shared" si="0"/>
        <v>Lengkap</v>
      </c>
    </row>
    <row r="28" spans="1:14" x14ac:dyDescent="0.25">
      <c r="A28" t="s">
        <v>39</v>
      </c>
      <c r="B28">
        <v>2.36</v>
      </c>
      <c r="C28">
        <v>3.51</v>
      </c>
      <c r="D28">
        <v>96.32</v>
      </c>
      <c r="E28">
        <v>55.06</v>
      </c>
      <c r="F28">
        <v>12.04</v>
      </c>
      <c r="G28">
        <v>81.84</v>
      </c>
      <c r="H28">
        <v>15.3</v>
      </c>
      <c r="I28">
        <v>0.48</v>
      </c>
      <c r="J28">
        <v>1.5</v>
      </c>
      <c r="K28">
        <v>0.89</v>
      </c>
      <c r="L28">
        <v>2.41</v>
      </c>
      <c r="M28">
        <v>6.39</v>
      </c>
      <c r="N28" t="str">
        <f t="shared" si="0"/>
        <v>Lengkap</v>
      </c>
    </row>
    <row r="29" spans="1:14" x14ac:dyDescent="0.25">
      <c r="A29" t="s">
        <v>40</v>
      </c>
      <c r="B29">
        <v>0.44</v>
      </c>
      <c r="C29">
        <v>1.5</v>
      </c>
      <c r="D29">
        <v>98</v>
      </c>
      <c r="E29">
        <v>66.12</v>
      </c>
      <c r="F29">
        <v>8.56</v>
      </c>
      <c r="G29">
        <v>85.1</v>
      </c>
      <c r="H29">
        <v>14.23</v>
      </c>
      <c r="I29">
        <v>0</v>
      </c>
      <c r="J29">
        <v>0.33</v>
      </c>
      <c r="K29">
        <v>0.34</v>
      </c>
      <c r="L29">
        <v>0.35</v>
      </c>
      <c r="M29">
        <v>10.9</v>
      </c>
      <c r="N29" t="str">
        <f t="shared" si="0"/>
        <v>Lengkap</v>
      </c>
    </row>
    <row r="30" spans="1:14" x14ac:dyDescent="0.25">
      <c r="A30" t="s">
        <v>41</v>
      </c>
      <c r="B30">
        <v>0.38</v>
      </c>
      <c r="D30">
        <v>92.16</v>
      </c>
      <c r="E30">
        <v>72.61</v>
      </c>
      <c r="F30">
        <v>12.14</v>
      </c>
      <c r="G30">
        <v>88.41</v>
      </c>
      <c r="H30">
        <v>10.039999999999999</v>
      </c>
      <c r="I30">
        <v>0.18</v>
      </c>
      <c r="J30">
        <v>1.36</v>
      </c>
      <c r="K30">
        <v>0</v>
      </c>
      <c r="L30">
        <v>0.18</v>
      </c>
      <c r="M30">
        <v>5.78</v>
      </c>
      <c r="N30" t="str">
        <f t="shared" si="0"/>
        <v>Ada Missing</v>
      </c>
    </row>
    <row r="31" spans="1:14" x14ac:dyDescent="0.25">
      <c r="A31" t="s">
        <v>42</v>
      </c>
      <c r="B31">
        <v>0.9</v>
      </c>
      <c r="C31">
        <v>1.49</v>
      </c>
      <c r="D31">
        <v>98.53</v>
      </c>
      <c r="E31">
        <v>58.36</v>
      </c>
      <c r="F31">
        <v>4.66</v>
      </c>
      <c r="G31">
        <v>90.33</v>
      </c>
      <c r="H31">
        <v>7.91</v>
      </c>
      <c r="I31">
        <v>0.32</v>
      </c>
      <c r="J31">
        <v>1.1299999999999999</v>
      </c>
      <c r="K31">
        <v>0.31</v>
      </c>
      <c r="L31">
        <v>0.22</v>
      </c>
      <c r="M31">
        <v>4.97</v>
      </c>
      <c r="N31" t="str">
        <f t="shared" si="0"/>
        <v>Lengkap</v>
      </c>
    </row>
    <row r="32" spans="1:14" x14ac:dyDescent="0.25">
      <c r="A32" t="s">
        <v>43</v>
      </c>
      <c r="B32">
        <v>2.66</v>
      </c>
      <c r="C32">
        <v>6.58</v>
      </c>
      <c r="D32">
        <v>91.32</v>
      </c>
      <c r="E32">
        <v>53.78</v>
      </c>
      <c r="F32">
        <v>14.9</v>
      </c>
      <c r="G32">
        <v>80.92</v>
      </c>
      <c r="H32">
        <v>13.53</v>
      </c>
      <c r="I32">
        <v>1.21</v>
      </c>
      <c r="J32">
        <v>2.76</v>
      </c>
      <c r="K32">
        <v>1.58</v>
      </c>
      <c r="L32">
        <v>0.09</v>
      </c>
      <c r="M32">
        <v>9.3699999999999992</v>
      </c>
      <c r="N32" t="str">
        <f t="shared" si="0"/>
        <v>Lengkap</v>
      </c>
    </row>
    <row r="33" spans="1:14" x14ac:dyDescent="0.25">
      <c r="A33" t="s">
        <v>44</v>
      </c>
      <c r="B33">
        <v>1.0900000000000001</v>
      </c>
      <c r="C33">
        <v>1.74</v>
      </c>
      <c r="D33">
        <v>86.35</v>
      </c>
      <c r="E33">
        <v>70.28</v>
      </c>
      <c r="F33">
        <v>11.7</v>
      </c>
      <c r="G33">
        <v>77.44</v>
      </c>
      <c r="H33">
        <v>19.97</v>
      </c>
      <c r="I33">
        <v>0.24</v>
      </c>
      <c r="J33">
        <v>1.24</v>
      </c>
      <c r="K33">
        <v>1.1100000000000001</v>
      </c>
      <c r="L33">
        <v>0.08</v>
      </c>
      <c r="M33">
        <v>17.25</v>
      </c>
      <c r="N33" t="str">
        <f t="shared" si="0"/>
        <v>Lengkap</v>
      </c>
    </row>
    <row r="34" spans="1:14" x14ac:dyDescent="0.25">
      <c r="A34" t="s">
        <v>45</v>
      </c>
      <c r="B34">
        <v>0</v>
      </c>
      <c r="C34">
        <v>2.0299999999999998</v>
      </c>
      <c r="D34">
        <v>93.79</v>
      </c>
      <c r="E34">
        <v>72.83</v>
      </c>
      <c r="F34">
        <v>1.27</v>
      </c>
      <c r="G34">
        <v>80.3</v>
      </c>
      <c r="H34">
        <v>18.66</v>
      </c>
      <c r="J34">
        <v>0</v>
      </c>
      <c r="K34">
        <v>1.04</v>
      </c>
      <c r="L34">
        <v>0.04</v>
      </c>
      <c r="M34">
        <v>15.38</v>
      </c>
      <c r="N34" t="str">
        <f t="shared" si="0"/>
        <v>Ada Missing</v>
      </c>
    </row>
    <row r="35" spans="1:14" x14ac:dyDescent="0.25">
      <c r="A35" t="s">
        <v>46</v>
      </c>
      <c r="B35">
        <v>2.93</v>
      </c>
      <c r="C35">
        <v>2.86</v>
      </c>
      <c r="D35">
        <v>92.58</v>
      </c>
      <c r="E35">
        <v>69.760000000000005</v>
      </c>
      <c r="F35">
        <v>10.039999999999999</v>
      </c>
      <c r="G35">
        <v>79.86</v>
      </c>
      <c r="H35">
        <v>14.87</v>
      </c>
      <c r="I35">
        <v>0.27</v>
      </c>
      <c r="J35">
        <v>4.09</v>
      </c>
      <c r="K35">
        <v>0.9</v>
      </c>
      <c r="L35">
        <v>0.04</v>
      </c>
      <c r="M35">
        <v>7.67</v>
      </c>
      <c r="N35" t="str">
        <f t="shared" si="0"/>
        <v>Lengkap</v>
      </c>
    </row>
    <row r="36" spans="1:14" x14ac:dyDescent="0.25">
      <c r="A36" t="s">
        <v>47</v>
      </c>
      <c r="B36">
        <v>1.72</v>
      </c>
      <c r="C36">
        <v>3.54</v>
      </c>
      <c r="D36">
        <v>88.93</v>
      </c>
      <c r="E36">
        <v>55.93</v>
      </c>
      <c r="F36">
        <v>19.11</v>
      </c>
      <c r="G36">
        <v>76.760000000000005</v>
      </c>
      <c r="H36">
        <v>19.3</v>
      </c>
      <c r="I36">
        <v>0.1</v>
      </c>
      <c r="J36">
        <v>2.61</v>
      </c>
      <c r="K36">
        <v>1.22</v>
      </c>
      <c r="L36">
        <v>7.0000000000000007E-2</v>
      </c>
      <c r="M36">
        <v>11.29</v>
      </c>
      <c r="N36" t="str">
        <f t="shared" si="0"/>
        <v>Lengkap</v>
      </c>
    </row>
    <row r="37" spans="1:14" x14ac:dyDescent="0.25">
      <c r="A37" t="s">
        <v>48</v>
      </c>
      <c r="B37">
        <v>1.39</v>
      </c>
      <c r="C37">
        <v>0.1</v>
      </c>
      <c r="D37">
        <v>96.42</v>
      </c>
      <c r="E37">
        <v>57.28</v>
      </c>
      <c r="F37">
        <v>3.49</v>
      </c>
      <c r="G37">
        <v>85.62</v>
      </c>
      <c r="H37">
        <v>11.61</v>
      </c>
      <c r="I37">
        <v>0.23</v>
      </c>
      <c r="J37">
        <v>0.45</v>
      </c>
      <c r="K37">
        <v>2.09</v>
      </c>
      <c r="L37">
        <v>0.04</v>
      </c>
      <c r="M37">
        <v>9.15</v>
      </c>
      <c r="N37" t="str">
        <f t="shared" si="0"/>
        <v>Lengkap</v>
      </c>
    </row>
    <row r="38" spans="1:14" x14ac:dyDescent="0.25">
      <c r="A38" t="s">
        <v>49</v>
      </c>
      <c r="N38" t="str">
        <f t="shared" si="0"/>
        <v>Ada Missing</v>
      </c>
    </row>
    <row r="39" spans="1:14" x14ac:dyDescent="0.25">
      <c r="A39" t="s">
        <v>50</v>
      </c>
      <c r="N39" t="str">
        <f t="shared" si="0"/>
        <v>Ada Missing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1D63-7B3A-49A4-8A81-F85F47E2AA37}">
  <dimension ref="A2:C25"/>
  <sheetViews>
    <sheetView workbookViewId="0">
      <selection activeCell="G14" sqref="G14"/>
    </sheetView>
  </sheetViews>
  <sheetFormatPr defaultRowHeight="15" x14ac:dyDescent="0.25"/>
  <cols>
    <col min="1" max="1" width="20.5703125" customWidth="1"/>
    <col min="2" max="2" width="11.85546875" customWidth="1"/>
    <col min="3" max="3" width="12.140625" customWidth="1"/>
  </cols>
  <sheetData>
    <row r="2" spans="1:3" x14ac:dyDescent="0.25">
      <c r="A2" t="s">
        <v>148</v>
      </c>
      <c r="B2" t="s">
        <v>149</v>
      </c>
    </row>
    <row r="3" spans="1:3" x14ac:dyDescent="0.25">
      <c r="A3" t="s">
        <v>73</v>
      </c>
      <c r="B3">
        <f>COUNTA('01_BPS_Raw_Data'!A2:A39)</f>
        <v>38</v>
      </c>
    </row>
    <row r="4" spans="1:3" x14ac:dyDescent="0.25">
      <c r="A4" t="s">
        <v>74</v>
      </c>
      <c r="B4" cm="1">
        <f t="array" ref="B4">SUMPRODUCT(--(COUNTIF('01_BPS_Raw_Data'!A2:A39,'01_BPS_Raw_Data'!A2:A39)&gt;1))</f>
        <v>0</v>
      </c>
    </row>
    <row r="5" spans="1:3" x14ac:dyDescent="0.25">
      <c r="A5" t="s">
        <v>75</v>
      </c>
      <c r="B5">
        <f>COUNTBLANK('01_BPS_Raw_Data'!A2:M39)</f>
        <v>26</v>
      </c>
    </row>
    <row r="6" spans="1:3" x14ac:dyDescent="0.25">
      <c r="A6" t="s">
        <v>77</v>
      </c>
      <c r="B6">
        <f>COUNTIF('01_BPS_Raw_Data'!B2:M39,"&lt;0")</f>
        <v>0</v>
      </c>
    </row>
    <row r="7" spans="1:3" x14ac:dyDescent="0.25">
      <c r="A7" t="s">
        <v>78</v>
      </c>
      <c r="B7">
        <f>COUNTIF('01_BPS_Raw_Data'!B2:M39,"&gt;100")</f>
        <v>0</v>
      </c>
    </row>
    <row r="9" spans="1:3" x14ac:dyDescent="0.25">
      <c r="A9" s="2"/>
      <c r="B9" s="2"/>
      <c r="C9" s="2"/>
    </row>
    <row r="10" spans="1:3" ht="30" x14ac:dyDescent="0.25">
      <c r="A10" s="3" t="s">
        <v>79</v>
      </c>
      <c r="B10" s="3" t="s">
        <v>80</v>
      </c>
      <c r="C10" s="3" t="s">
        <v>81</v>
      </c>
    </row>
    <row r="11" spans="1:3" x14ac:dyDescent="0.25">
      <c r="A11" s="3" t="s">
        <v>82</v>
      </c>
      <c r="B11" s="3">
        <f>MIN('01_BPS_Raw_Data'!B2:B39)</f>
        <v>0</v>
      </c>
      <c r="C11" s="3">
        <f>MAX('01_BPS_Raw_Data'!B2:B39)</f>
        <v>7.49</v>
      </c>
    </row>
    <row r="12" spans="1:3" x14ac:dyDescent="0.25">
      <c r="A12" s="3" t="s">
        <v>83</v>
      </c>
      <c r="B12" s="3">
        <f>MIN('01_BPS_Raw_Data'!C2:C39)</f>
        <v>0.1</v>
      </c>
      <c r="C12" s="3">
        <f>MAX('01_BPS_Raw_Data'!C2:C39)</f>
        <v>9.44</v>
      </c>
    </row>
    <row r="13" spans="1:3" x14ac:dyDescent="0.25">
      <c r="A13" s="3" t="s">
        <v>84</v>
      </c>
      <c r="B13" s="3">
        <f>MIN('01_BPS_Raw_Data'!D2:D39)</f>
        <v>84.57</v>
      </c>
      <c r="C13" s="3">
        <f>MAX('01_BPS_Raw_Data'!D2:D39)</f>
        <v>99.1</v>
      </c>
    </row>
    <row r="14" spans="1:3" x14ac:dyDescent="0.25">
      <c r="A14" s="3" t="s">
        <v>85</v>
      </c>
      <c r="B14" s="3">
        <f>MIN('01_BPS_Raw_Data'!E2:E39)</f>
        <v>22.3</v>
      </c>
      <c r="C14" s="3">
        <f>MAX('01_BPS_Raw_Data'!E2:E39)</f>
        <v>82.91</v>
      </c>
    </row>
    <row r="15" spans="1:3" x14ac:dyDescent="0.25">
      <c r="A15" s="3" t="s">
        <v>86</v>
      </c>
      <c r="B15" s="3">
        <f>MIN('01_BPS_Raw_Data'!F2:F39)</f>
        <v>1.27</v>
      </c>
      <c r="C15" s="3">
        <f>MAX('01_BPS_Raw_Data'!F2:F39)</f>
        <v>41.4</v>
      </c>
    </row>
    <row r="16" spans="1:3" x14ac:dyDescent="0.25">
      <c r="A16" s="3" t="s">
        <v>87</v>
      </c>
      <c r="B16" s="3">
        <f>MIN('01_BPS_Raw_Data'!G2:G39)</f>
        <v>45.54</v>
      </c>
      <c r="C16" s="3">
        <f>MAX('01_BPS_Raw_Data'!G2:G39)</f>
        <v>90.69</v>
      </c>
    </row>
    <row r="17" spans="1:3" x14ac:dyDescent="0.25">
      <c r="A17" s="3" t="s">
        <v>88</v>
      </c>
      <c r="B17" s="3">
        <f>MIN('01_BPS_Raw_Data'!H2:H39)</f>
        <v>7.91</v>
      </c>
      <c r="C17" s="3">
        <f>MAX('01_BPS_Raw_Data'!H2:H39)</f>
        <v>27.23</v>
      </c>
    </row>
    <row r="18" spans="1:3" x14ac:dyDescent="0.25">
      <c r="A18" s="3" t="s">
        <v>89</v>
      </c>
      <c r="B18" s="3">
        <f>MIN('01_BPS_Raw_Data'!I2:I39)</f>
        <v>0</v>
      </c>
      <c r="C18" s="3">
        <f>MAX('01_BPS_Raw_Data'!I2:I39)</f>
        <v>5.36</v>
      </c>
    </row>
    <row r="19" spans="1:3" x14ac:dyDescent="0.25">
      <c r="A19" s="3" t="s">
        <v>90</v>
      </c>
      <c r="B19" s="3">
        <f>MIN('01_BPS_Raw_Data'!J2:J39)</f>
        <v>0</v>
      </c>
      <c r="C19" s="3">
        <f>MAX('01_BPS_Raw_Data'!J2:J39)</f>
        <v>23.07</v>
      </c>
    </row>
    <row r="20" spans="1:3" x14ac:dyDescent="0.25">
      <c r="A20" s="3" t="s">
        <v>91</v>
      </c>
      <c r="B20" s="3">
        <f>MIN('01_BPS_Raw_Data'!K2:K39)</f>
        <v>0</v>
      </c>
      <c r="C20" s="3">
        <f>MAX('01_BPS_Raw_Data'!K2:K39)</f>
        <v>3.02</v>
      </c>
    </row>
    <row r="23" spans="1:3" x14ac:dyDescent="0.25">
      <c r="A23" t="s">
        <v>92</v>
      </c>
      <c r="B23">
        <f>COUNTIF('01_BPS_Raw_Data'!M2:M39,"&gt;25")</f>
        <v>0</v>
      </c>
    </row>
    <row r="24" spans="1:3" x14ac:dyDescent="0.25">
      <c r="A24" t="s">
        <v>93</v>
      </c>
      <c r="B24">
        <f>COUNTIF('01_BPS_Raw_Data'!M2:M39,"&lt;=25")</f>
        <v>36</v>
      </c>
    </row>
    <row r="25" spans="1:3" x14ac:dyDescent="0.25">
      <c r="A25" t="s">
        <v>94</v>
      </c>
      <c r="B25" t="str">
        <f>IF(AND(B3=38,B4=0,B6=0,B7=0),"VALID - Lanjut ke Cleaning","PERLU DICEK")</f>
        <v>VALID - Lanjut ke Cleaning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6F12-AEAF-4FB2-9767-1B517756CEA9}">
  <dimension ref="A1:T39"/>
  <sheetViews>
    <sheetView topLeftCell="A28" workbookViewId="0">
      <selection activeCell="H13" sqref="H13"/>
    </sheetView>
  </sheetViews>
  <sheetFormatPr defaultRowHeight="15" x14ac:dyDescent="0.25"/>
  <cols>
    <col min="1" max="3" width="22" customWidth="1"/>
    <col min="4" max="4" width="22.5703125" customWidth="1"/>
    <col min="5" max="11" width="22" customWidth="1"/>
    <col min="12" max="12" width="31.42578125" customWidth="1"/>
    <col min="13" max="13" width="22" customWidth="1"/>
    <col min="14" max="14" width="20.5703125" customWidth="1"/>
    <col min="15" max="15" width="19.140625" customWidth="1"/>
    <col min="16" max="16" width="19" customWidth="1"/>
    <col min="17" max="17" width="21.85546875" customWidth="1"/>
    <col min="18" max="18" width="22.5703125" customWidth="1"/>
    <col min="19" max="19" width="25.42578125" customWidth="1"/>
    <col min="20" max="20" width="13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</row>
    <row r="2" spans="1:20" x14ac:dyDescent="0.25">
      <c r="A2" t="s">
        <v>13</v>
      </c>
      <c r="B2">
        <v>0.39</v>
      </c>
      <c r="C2">
        <v>2.89</v>
      </c>
      <c r="D2">
        <v>98.72</v>
      </c>
      <c r="E2">
        <v>47.11</v>
      </c>
      <c r="F2">
        <v>5.5</v>
      </c>
      <c r="G2">
        <v>81.39</v>
      </c>
      <c r="H2">
        <v>17.739999999999998</v>
      </c>
      <c r="I2">
        <v>0.05</v>
      </c>
      <c r="J2">
        <v>0.36</v>
      </c>
      <c r="K2">
        <v>0.45</v>
      </c>
      <c r="L2">
        <v>0.88</v>
      </c>
      <c r="M2">
        <v>5.84</v>
      </c>
      <c r="N2">
        <f>SUM(H2:K2)</f>
        <v>18.599999999999998</v>
      </c>
      <c r="O2">
        <f>G2-N2</f>
        <v>62.790000000000006</v>
      </c>
      <c r="P2">
        <f>_xlfn.RANK.EQ(F2,$F$2:$F$39,0)</f>
        <v>32</v>
      </c>
      <c r="Q2">
        <f>_xlfn.RANK.EQ(N2,$N$2:$N$39,0)</f>
        <v>21</v>
      </c>
      <c r="R2" t="str">
        <f>IF(F2="","NA",IF(F2&gt;=20,"High",IF(F2&gt;=10,"Medium","Low")))</f>
        <v>Low</v>
      </c>
      <c r="S2" t="str">
        <f>IF(N2="","NA",IF(N2&gt;=30,"High",IF(N2&gt;=15,"Medium","Low")))</f>
        <v>Medium</v>
      </c>
      <c r="T2" t="str">
        <f>IF(OR(ISERROR(N2),ISERROR(O2),ISERROR(P2),ISERROR(Q2)),"CHECK","OK")</f>
        <v>OK</v>
      </c>
    </row>
    <row r="3" spans="1:20" x14ac:dyDescent="0.25">
      <c r="A3" t="s">
        <v>14</v>
      </c>
      <c r="B3">
        <v>0.98</v>
      </c>
      <c r="C3">
        <v>6.08</v>
      </c>
      <c r="D3">
        <v>97.67</v>
      </c>
      <c r="E3">
        <v>53.82</v>
      </c>
      <c r="F3">
        <v>8.2799999999999994</v>
      </c>
      <c r="G3">
        <v>89.35</v>
      </c>
      <c r="H3">
        <v>9.11</v>
      </c>
      <c r="I3">
        <v>0.03</v>
      </c>
      <c r="J3">
        <v>1.38</v>
      </c>
      <c r="K3">
        <v>0.12</v>
      </c>
      <c r="L3">
        <v>3.8</v>
      </c>
      <c r="M3">
        <v>6.19</v>
      </c>
      <c r="N3">
        <f t="shared" ref="N3:N39" si="0">SUM(H3:K3)</f>
        <v>10.639999999999999</v>
      </c>
      <c r="O3">
        <f t="shared" ref="O3:O39" si="1">G3-N3</f>
        <v>78.709999999999994</v>
      </c>
      <c r="P3">
        <f t="shared" ref="P3:P39" si="2">_xlfn.RANK.EQ(F3,$F$2:$F$39,0)</f>
        <v>31</v>
      </c>
      <c r="Q3">
        <f t="shared" ref="Q3:Q39" si="3">_xlfn.RANK.EQ(N3,$N$2:$N$39,0)</f>
        <v>34</v>
      </c>
      <c r="R3" t="str">
        <f t="shared" ref="R3:R39" si="4">IF(F3="","NA",IF(F3&gt;=20,"High",IF(F3&gt;=10,"Medium","Low")))</f>
        <v>Low</v>
      </c>
      <c r="S3" t="str">
        <f t="shared" ref="S3:S39" si="5">IF(N3="","NA",IF(N3&gt;=30,"High",IF(N3&gt;=15,"Medium","Low")))</f>
        <v>Low</v>
      </c>
      <c r="T3" t="str">
        <f t="shared" ref="T3:T39" si="6">IF(OR(ISERROR(N3),ISERROR(O3),ISERROR(P3),ISERROR(Q3)),"CHECK","OK")</f>
        <v>OK</v>
      </c>
    </row>
    <row r="4" spans="1:20" x14ac:dyDescent="0.25">
      <c r="A4" t="s">
        <v>15</v>
      </c>
      <c r="B4">
        <v>1.23</v>
      </c>
      <c r="C4">
        <v>1.44</v>
      </c>
      <c r="D4">
        <v>94.82</v>
      </c>
      <c r="E4">
        <v>39</v>
      </c>
      <c r="F4">
        <v>16.940000000000001</v>
      </c>
      <c r="G4">
        <v>73.89</v>
      </c>
      <c r="H4">
        <v>21.47</v>
      </c>
      <c r="I4">
        <v>0.28000000000000003</v>
      </c>
      <c r="J4">
        <v>3.9</v>
      </c>
      <c r="K4">
        <v>0.46</v>
      </c>
      <c r="L4">
        <v>1.05</v>
      </c>
      <c r="M4">
        <v>5.73</v>
      </c>
      <c r="N4">
        <f t="shared" si="0"/>
        <v>26.11</v>
      </c>
      <c r="O4">
        <f t="shared" si="1"/>
        <v>47.78</v>
      </c>
      <c r="P4">
        <f t="shared" si="2"/>
        <v>6</v>
      </c>
      <c r="Q4">
        <f t="shared" si="3"/>
        <v>4</v>
      </c>
      <c r="R4" t="str">
        <f t="shared" si="4"/>
        <v>Medium</v>
      </c>
      <c r="S4" t="str">
        <f t="shared" si="5"/>
        <v>Medium</v>
      </c>
      <c r="T4" t="str">
        <f t="shared" si="6"/>
        <v>OK</v>
      </c>
    </row>
    <row r="5" spans="1:20" x14ac:dyDescent="0.25">
      <c r="A5" t="s">
        <v>16</v>
      </c>
      <c r="B5">
        <v>2.39</v>
      </c>
      <c r="C5">
        <v>4.97</v>
      </c>
      <c r="D5">
        <v>94.77</v>
      </c>
      <c r="E5">
        <v>50.55</v>
      </c>
      <c r="F5">
        <v>14.55</v>
      </c>
      <c r="G5">
        <v>83.76</v>
      </c>
      <c r="H5">
        <v>13.33</v>
      </c>
      <c r="I5">
        <v>0.16</v>
      </c>
      <c r="J5">
        <v>2.0699999999999998</v>
      </c>
      <c r="K5">
        <v>0.68</v>
      </c>
      <c r="L5">
        <v>1.68</v>
      </c>
      <c r="M5">
        <v>4.33</v>
      </c>
      <c r="N5">
        <f t="shared" si="0"/>
        <v>16.240000000000002</v>
      </c>
      <c r="O5">
        <f t="shared" si="1"/>
        <v>67.52000000000001</v>
      </c>
      <c r="P5">
        <f t="shared" si="2"/>
        <v>14</v>
      </c>
      <c r="Q5">
        <f t="shared" si="3"/>
        <v>27</v>
      </c>
      <c r="R5" t="str">
        <f t="shared" si="4"/>
        <v>Medium</v>
      </c>
      <c r="S5" t="str">
        <f t="shared" si="5"/>
        <v>Medium</v>
      </c>
      <c r="T5" t="str">
        <f t="shared" si="6"/>
        <v>OK</v>
      </c>
    </row>
    <row r="6" spans="1:20" x14ac:dyDescent="0.25">
      <c r="A6" t="s">
        <v>17</v>
      </c>
      <c r="B6">
        <v>0.84</v>
      </c>
      <c r="C6">
        <v>3.12</v>
      </c>
      <c r="D6">
        <v>97.84</v>
      </c>
      <c r="E6">
        <v>47.52</v>
      </c>
      <c r="F6">
        <v>10.69</v>
      </c>
      <c r="G6">
        <v>83.17</v>
      </c>
      <c r="H6">
        <v>14.1</v>
      </c>
      <c r="I6">
        <v>0.55000000000000004</v>
      </c>
      <c r="J6">
        <v>1.85</v>
      </c>
      <c r="K6">
        <v>0.34</v>
      </c>
      <c r="L6">
        <v>0.8</v>
      </c>
      <c r="M6">
        <v>5.53</v>
      </c>
      <c r="N6">
        <f t="shared" si="0"/>
        <v>16.84</v>
      </c>
      <c r="O6">
        <f t="shared" si="1"/>
        <v>66.33</v>
      </c>
      <c r="P6">
        <f t="shared" si="2"/>
        <v>24</v>
      </c>
      <c r="Q6">
        <f t="shared" si="3"/>
        <v>25</v>
      </c>
      <c r="R6" t="str">
        <f t="shared" si="4"/>
        <v>Medium</v>
      </c>
      <c r="S6" t="str">
        <f t="shared" si="5"/>
        <v>Medium</v>
      </c>
      <c r="T6" t="str">
        <f t="shared" si="6"/>
        <v>OK</v>
      </c>
    </row>
    <row r="7" spans="1:20" x14ac:dyDescent="0.25">
      <c r="A7" t="s">
        <v>18</v>
      </c>
      <c r="B7">
        <v>1.1200000000000001</v>
      </c>
      <c r="C7">
        <v>3.23</v>
      </c>
      <c r="D7">
        <v>94.62</v>
      </c>
      <c r="E7">
        <v>46.63</v>
      </c>
      <c r="F7">
        <v>15.18</v>
      </c>
      <c r="G7">
        <v>83.63</v>
      </c>
      <c r="H7">
        <v>12.74</v>
      </c>
      <c r="I7">
        <v>0.12</v>
      </c>
      <c r="J7">
        <v>3.25</v>
      </c>
      <c r="K7">
        <v>0.25</v>
      </c>
      <c r="L7">
        <v>0.91</v>
      </c>
      <c r="M7">
        <v>6.47</v>
      </c>
      <c r="N7">
        <f t="shared" si="0"/>
        <v>16.36</v>
      </c>
      <c r="O7">
        <f t="shared" si="1"/>
        <v>67.27</v>
      </c>
      <c r="P7">
        <f t="shared" si="2"/>
        <v>11</v>
      </c>
      <c r="Q7">
        <f t="shared" si="3"/>
        <v>26</v>
      </c>
      <c r="R7" t="str">
        <f t="shared" si="4"/>
        <v>Medium</v>
      </c>
      <c r="S7" t="str">
        <f t="shared" si="5"/>
        <v>Medium</v>
      </c>
      <c r="T7" t="str">
        <f t="shared" si="6"/>
        <v>OK</v>
      </c>
    </row>
    <row r="8" spans="1:20" x14ac:dyDescent="0.25">
      <c r="A8" t="s">
        <v>19</v>
      </c>
      <c r="B8">
        <v>1.57</v>
      </c>
      <c r="C8">
        <v>4.01</v>
      </c>
      <c r="D8">
        <v>97.04</v>
      </c>
      <c r="E8">
        <v>55.82</v>
      </c>
      <c r="F8">
        <v>10.35</v>
      </c>
      <c r="G8">
        <v>79.489999999999995</v>
      </c>
      <c r="H8">
        <v>17.46</v>
      </c>
      <c r="I8">
        <v>0.08</v>
      </c>
      <c r="J8">
        <v>0.85</v>
      </c>
      <c r="K8">
        <v>2.12</v>
      </c>
      <c r="L8">
        <v>0.66</v>
      </c>
      <c r="M8">
        <v>7.47</v>
      </c>
      <c r="N8">
        <f t="shared" si="0"/>
        <v>20.51</v>
      </c>
      <c r="O8">
        <f t="shared" si="1"/>
        <v>58.97999999999999</v>
      </c>
      <c r="P8">
        <f t="shared" si="2"/>
        <v>25</v>
      </c>
      <c r="Q8">
        <f t="shared" si="3"/>
        <v>15</v>
      </c>
      <c r="R8" t="str">
        <f t="shared" si="4"/>
        <v>Medium</v>
      </c>
      <c r="S8" t="str">
        <f t="shared" si="5"/>
        <v>Medium</v>
      </c>
      <c r="T8" t="str">
        <f t="shared" si="6"/>
        <v>OK</v>
      </c>
    </row>
    <row r="9" spans="1:20" x14ac:dyDescent="0.25">
      <c r="A9" t="s">
        <v>20</v>
      </c>
      <c r="B9">
        <v>1.6</v>
      </c>
      <c r="C9">
        <v>1.93</v>
      </c>
      <c r="D9">
        <v>97.74</v>
      </c>
      <c r="E9">
        <v>34.799999999999997</v>
      </c>
      <c r="F9">
        <v>11.78</v>
      </c>
      <c r="G9">
        <v>84.55</v>
      </c>
      <c r="H9">
        <v>10.25</v>
      </c>
      <c r="I9">
        <v>0.7</v>
      </c>
      <c r="J9">
        <v>3.69</v>
      </c>
      <c r="K9">
        <v>0.81</v>
      </c>
      <c r="L9">
        <v>1.52</v>
      </c>
      <c r="M9">
        <v>7.68</v>
      </c>
      <c r="N9">
        <f t="shared" si="0"/>
        <v>15.45</v>
      </c>
      <c r="O9">
        <f t="shared" si="1"/>
        <v>69.099999999999994</v>
      </c>
      <c r="P9">
        <f t="shared" si="2"/>
        <v>21</v>
      </c>
      <c r="Q9">
        <f t="shared" si="3"/>
        <v>28</v>
      </c>
      <c r="R9" t="str">
        <f t="shared" si="4"/>
        <v>Medium</v>
      </c>
      <c r="S9" t="str">
        <f t="shared" si="5"/>
        <v>Medium</v>
      </c>
      <c r="T9" t="str">
        <f t="shared" si="6"/>
        <v>OK</v>
      </c>
    </row>
    <row r="10" spans="1:20" x14ac:dyDescent="0.25">
      <c r="A10" t="s">
        <v>21</v>
      </c>
      <c r="B10">
        <v>1.07</v>
      </c>
      <c r="C10">
        <v>1.91</v>
      </c>
      <c r="D10">
        <v>99.1</v>
      </c>
      <c r="E10">
        <v>41.7</v>
      </c>
      <c r="F10">
        <v>3.25</v>
      </c>
      <c r="G10">
        <v>90.69</v>
      </c>
      <c r="H10">
        <v>8.6</v>
      </c>
      <c r="I10">
        <v>0.04</v>
      </c>
      <c r="J10">
        <v>0.49</v>
      </c>
      <c r="K10">
        <v>0.17</v>
      </c>
      <c r="L10">
        <v>0.49</v>
      </c>
      <c r="M10">
        <v>4.82</v>
      </c>
      <c r="N10">
        <f t="shared" si="0"/>
        <v>9.2999999999999989</v>
      </c>
      <c r="O10">
        <f t="shared" si="1"/>
        <v>81.39</v>
      </c>
      <c r="P10">
        <f t="shared" si="2"/>
        <v>35</v>
      </c>
      <c r="Q10">
        <f t="shared" si="3"/>
        <v>36</v>
      </c>
      <c r="R10" t="str">
        <f t="shared" si="4"/>
        <v>Low</v>
      </c>
      <c r="S10" t="str">
        <f t="shared" si="5"/>
        <v>Low</v>
      </c>
      <c r="T10" t="str">
        <f t="shared" si="6"/>
        <v>OK</v>
      </c>
    </row>
    <row r="11" spans="1:20" x14ac:dyDescent="0.25">
      <c r="A11" t="s">
        <v>22</v>
      </c>
      <c r="B11">
        <v>2.59</v>
      </c>
      <c r="C11">
        <v>1.66</v>
      </c>
      <c r="D11">
        <v>96.19</v>
      </c>
      <c r="E11">
        <v>42.04</v>
      </c>
      <c r="F11">
        <v>16.89</v>
      </c>
      <c r="G11">
        <v>73.650000000000006</v>
      </c>
      <c r="H11">
        <v>19.309999999999999</v>
      </c>
      <c r="I11">
        <v>0.48</v>
      </c>
      <c r="J11">
        <v>4.99</v>
      </c>
      <c r="K11">
        <v>1.57</v>
      </c>
      <c r="L11">
        <v>1.05</v>
      </c>
      <c r="M11">
        <v>10.66</v>
      </c>
      <c r="N11">
        <f t="shared" si="0"/>
        <v>26.35</v>
      </c>
      <c r="O11">
        <f t="shared" si="1"/>
        <v>47.300000000000004</v>
      </c>
      <c r="P11">
        <f t="shared" si="2"/>
        <v>7</v>
      </c>
      <c r="Q11">
        <f t="shared" si="3"/>
        <v>3</v>
      </c>
      <c r="R11" t="str">
        <f t="shared" si="4"/>
        <v>Medium</v>
      </c>
      <c r="S11" t="str">
        <f t="shared" si="5"/>
        <v>Medium</v>
      </c>
      <c r="T11" t="str">
        <f t="shared" si="6"/>
        <v>OK</v>
      </c>
    </row>
    <row r="12" spans="1:20" x14ac:dyDescent="0.25">
      <c r="A12" t="s">
        <v>23</v>
      </c>
      <c r="B12">
        <v>3.65</v>
      </c>
      <c r="C12">
        <v>7.86</v>
      </c>
      <c r="D12">
        <v>84.57</v>
      </c>
      <c r="E12">
        <v>22.3</v>
      </c>
      <c r="F12">
        <v>41.4</v>
      </c>
      <c r="G12">
        <v>45.54</v>
      </c>
      <c r="H12">
        <v>27.23</v>
      </c>
      <c r="I12">
        <v>1.1399999999999999</v>
      </c>
      <c r="J12">
        <v>23.07</v>
      </c>
      <c r="K12">
        <v>3.02</v>
      </c>
      <c r="L12">
        <v>8.99</v>
      </c>
      <c r="M12">
        <v>4.79</v>
      </c>
      <c r="N12">
        <f t="shared" si="0"/>
        <v>54.46</v>
      </c>
      <c r="O12">
        <f t="shared" si="1"/>
        <v>-8.9200000000000017</v>
      </c>
      <c r="P12">
        <f t="shared" si="2"/>
        <v>1</v>
      </c>
      <c r="Q12">
        <f t="shared" si="3"/>
        <v>1</v>
      </c>
      <c r="R12" t="str">
        <f t="shared" si="4"/>
        <v>High</v>
      </c>
      <c r="S12" t="str">
        <f t="shared" si="5"/>
        <v>High</v>
      </c>
      <c r="T12" t="str">
        <f t="shared" si="6"/>
        <v>OK</v>
      </c>
    </row>
    <row r="13" spans="1:20" x14ac:dyDescent="0.25">
      <c r="A13" t="s">
        <v>24</v>
      </c>
      <c r="B13">
        <v>2.37</v>
      </c>
      <c r="C13">
        <v>3.28</v>
      </c>
      <c r="D13">
        <v>94.66</v>
      </c>
      <c r="E13">
        <v>27.29</v>
      </c>
      <c r="F13">
        <v>18.420000000000002</v>
      </c>
      <c r="G13">
        <v>74.22</v>
      </c>
      <c r="H13">
        <v>18.14</v>
      </c>
      <c r="I13">
        <v>0.36</v>
      </c>
      <c r="J13">
        <v>6.41</v>
      </c>
      <c r="K13">
        <v>0.86</v>
      </c>
      <c r="L13">
        <v>21.43</v>
      </c>
      <c r="M13">
        <v>4.4000000000000004</v>
      </c>
      <c r="N13">
        <f t="shared" si="0"/>
        <v>25.77</v>
      </c>
      <c r="O13">
        <f t="shared" si="1"/>
        <v>48.45</v>
      </c>
      <c r="P13">
        <f t="shared" si="2"/>
        <v>5</v>
      </c>
      <c r="Q13">
        <f t="shared" si="3"/>
        <v>5</v>
      </c>
      <c r="R13" t="str">
        <f t="shared" si="4"/>
        <v>Medium</v>
      </c>
      <c r="S13" t="str">
        <f t="shared" si="5"/>
        <v>Medium</v>
      </c>
      <c r="T13" t="str">
        <f t="shared" si="6"/>
        <v>OK</v>
      </c>
    </row>
    <row r="14" spans="1:20" x14ac:dyDescent="0.25">
      <c r="A14" t="s">
        <v>25</v>
      </c>
      <c r="B14">
        <v>0.69</v>
      </c>
      <c r="C14">
        <v>0.74</v>
      </c>
      <c r="D14">
        <v>98.01</v>
      </c>
      <c r="E14">
        <v>28.79</v>
      </c>
      <c r="F14">
        <v>13.93</v>
      </c>
      <c r="G14">
        <v>78.739999999999995</v>
      </c>
      <c r="H14">
        <v>16.53</v>
      </c>
      <c r="I14">
        <v>0.19</v>
      </c>
      <c r="J14">
        <v>4.05</v>
      </c>
      <c r="K14">
        <v>0.49</v>
      </c>
      <c r="L14">
        <v>17.66</v>
      </c>
      <c r="M14">
        <v>5.13</v>
      </c>
      <c r="N14">
        <f t="shared" si="0"/>
        <v>21.26</v>
      </c>
      <c r="O14">
        <f t="shared" si="1"/>
        <v>57.47999999999999</v>
      </c>
      <c r="P14">
        <f t="shared" si="2"/>
        <v>16</v>
      </c>
      <c r="Q14">
        <f t="shared" si="3"/>
        <v>12</v>
      </c>
      <c r="R14" t="str">
        <f t="shared" si="4"/>
        <v>Medium</v>
      </c>
      <c r="S14" t="str">
        <f t="shared" si="5"/>
        <v>Medium</v>
      </c>
      <c r="T14" t="str">
        <f t="shared" si="6"/>
        <v>OK</v>
      </c>
    </row>
    <row r="15" spans="1:20" x14ac:dyDescent="0.25">
      <c r="A15" t="s">
        <v>26</v>
      </c>
      <c r="B15">
        <v>1.41</v>
      </c>
      <c r="C15">
        <v>0.19</v>
      </c>
      <c r="D15">
        <v>96.48</v>
      </c>
      <c r="E15">
        <v>24.01</v>
      </c>
      <c r="F15">
        <v>16.03</v>
      </c>
      <c r="G15">
        <v>76.33</v>
      </c>
      <c r="H15">
        <v>15.72</v>
      </c>
      <c r="I15">
        <v>0.16</v>
      </c>
      <c r="J15">
        <v>6.3</v>
      </c>
      <c r="K15">
        <v>1.49</v>
      </c>
      <c r="L15">
        <v>5.08</v>
      </c>
      <c r="M15">
        <v>6.26</v>
      </c>
      <c r="N15">
        <f t="shared" si="0"/>
        <v>23.669999999999998</v>
      </c>
      <c r="O15">
        <f t="shared" si="1"/>
        <v>52.66</v>
      </c>
      <c r="P15">
        <f t="shared" si="2"/>
        <v>9</v>
      </c>
      <c r="Q15">
        <f t="shared" si="3"/>
        <v>8</v>
      </c>
      <c r="R15" t="str">
        <f t="shared" si="4"/>
        <v>Medium</v>
      </c>
      <c r="S15" t="str">
        <f t="shared" si="5"/>
        <v>Medium</v>
      </c>
      <c r="T15" t="str">
        <f t="shared" si="6"/>
        <v>OK</v>
      </c>
    </row>
    <row r="16" spans="1:20" x14ac:dyDescent="0.25">
      <c r="A16" t="s">
        <v>27</v>
      </c>
      <c r="B16">
        <v>0.84</v>
      </c>
      <c r="C16">
        <v>3.63</v>
      </c>
      <c r="D16">
        <v>98.19</v>
      </c>
      <c r="E16">
        <v>31.6</v>
      </c>
      <c r="F16">
        <v>15.08</v>
      </c>
      <c r="G16">
        <v>78.86</v>
      </c>
      <c r="H16">
        <v>17.399999999999999</v>
      </c>
      <c r="I16">
        <v>0.14000000000000001</v>
      </c>
      <c r="J16">
        <v>2.83</v>
      </c>
      <c r="K16">
        <v>0.78</v>
      </c>
      <c r="L16">
        <v>18.309999999999999</v>
      </c>
      <c r="M16">
        <v>6.02</v>
      </c>
      <c r="N16">
        <f t="shared" si="0"/>
        <v>21.15</v>
      </c>
      <c r="O16">
        <f t="shared" si="1"/>
        <v>57.71</v>
      </c>
      <c r="P16">
        <f t="shared" si="2"/>
        <v>12</v>
      </c>
      <c r="Q16">
        <f t="shared" si="3"/>
        <v>13</v>
      </c>
      <c r="R16" t="str">
        <f t="shared" si="4"/>
        <v>Medium</v>
      </c>
      <c r="S16" t="str">
        <f t="shared" si="5"/>
        <v>Medium</v>
      </c>
      <c r="T16" t="str">
        <f t="shared" si="6"/>
        <v>OK</v>
      </c>
    </row>
    <row r="17" spans="1:20" x14ac:dyDescent="0.25">
      <c r="A17" t="s">
        <v>28</v>
      </c>
      <c r="B17">
        <v>3.22</v>
      </c>
      <c r="C17">
        <v>6.15</v>
      </c>
      <c r="D17">
        <v>92.13</v>
      </c>
      <c r="E17">
        <v>23.98</v>
      </c>
      <c r="F17">
        <v>26.57</v>
      </c>
      <c r="G17">
        <v>70.52</v>
      </c>
      <c r="H17">
        <v>17.3</v>
      </c>
      <c r="I17">
        <v>0.28999999999999998</v>
      </c>
      <c r="J17">
        <v>10.32</v>
      </c>
      <c r="K17">
        <v>1.57</v>
      </c>
      <c r="L17">
        <v>3.57</v>
      </c>
      <c r="M17">
        <v>4.83</v>
      </c>
      <c r="N17">
        <f t="shared" si="0"/>
        <v>29.48</v>
      </c>
      <c r="O17">
        <f t="shared" si="1"/>
        <v>41.039999999999992</v>
      </c>
      <c r="P17">
        <f t="shared" si="2"/>
        <v>2</v>
      </c>
      <c r="Q17">
        <f t="shared" si="3"/>
        <v>2</v>
      </c>
      <c r="R17" t="str">
        <f t="shared" si="4"/>
        <v>High</v>
      </c>
      <c r="S17" t="str">
        <f t="shared" si="5"/>
        <v>Medium</v>
      </c>
      <c r="T17" t="str">
        <f t="shared" si="6"/>
        <v>OK</v>
      </c>
    </row>
    <row r="18" spans="1:20" x14ac:dyDescent="0.25">
      <c r="A18" t="s">
        <v>29</v>
      </c>
      <c r="B18">
        <v>5.45</v>
      </c>
      <c r="C18">
        <v>6.92</v>
      </c>
      <c r="D18">
        <v>93.61</v>
      </c>
      <c r="E18">
        <v>33.049999999999997</v>
      </c>
      <c r="F18">
        <v>22.85</v>
      </c>
      <c r="G18">
        <v>75.180000000000007</v>
      </c>
      <c r="H18">
        <v>15.34</v>
      </c>
      <c r="I18">
        <v>5.36</v>
      </c>
      <c r="J18">
        <v>1.98</v>
      </c>
      <c r="K18">
        <v>2.14</v>
      </c>
      <c r="L18">
        <v>2.12</v>
      </c>
      <c r="M18">
        <v>5.4</v>
      </c>
      <c r="N18">
        <f t="shared" si="0"/>
        <v>24.82</v>
      </c>
      <c r="O18">
        <f t="shared" si="1"/>
        <v>50.360000000000007</v>
      </c>
      <c r="P18">
        <f t="shared" si="2"/>
        <v>3</v>
      </c>
      <c r="Q18">
        <f t="shared" si="3"/>
        <v>7</v>
      </c>
      <c r="R18" t="str">
        <f t="shared" si="4"/>
        <v>High</v>
      </c>
      <c r="S18" t="str">
        <f t="shared" si="5"/>
        <v>Medium</v>
      </c>
      <c r="T18" t="str">
        <f t="shared" si="6"/>
        <v>OK</v>
      </c>
    </row>
    <row r="19" spans="1:20" x14ac:dyDescent="0.25">
      <c r="A19" t="s">
        <v>30</v>
      </c>
      <c r="B19">
        <v>1.97</v>
      </c>
      <c r="C19">
        <v>1.46</v>
      </c>
      <c r="D19">
        <v>97.76</v>
      </c>
      <c r="E19">
        <v>63.03</v>
      </c>
      <c r="F19">
        <v>10.27</v>
      </c>
      <c r="G19">
        <v>81.66</v>
      </c>
      <c r="H19">
        <v>15.23</v>
      </c>
      <c r="I19">
        <v>0.03</v>
      </c>
      <c r="J19">
        <v>2.4900000000000002</v>
      </c>
      <c r="K19">
        <v>0.59</v>
      </c>
      <c r="L19">
        <v>1.01</v>
      </c>
      <c r="M19">
        <v>4.7</v>
      </c>
      <c r="N19">
        <f t="shared" si="0"/>
        <v>18.34</v>
      </c>
      <c r="O19">
        <f t="shared" si="1"/>
        <v>63.319999999999993</v>
      </c>
      <c r="P19">
        <f t="shared" si="2"/>
        <v>26</v>
      </c>
      <c r="Q19">
        <f t="shared" si="3"/>
        <v>22</v>
      </c>
      <c r="R19" t="str">
        <f t="shared" si="4"/>
        <v>Medium</v>
      </c>
      <c r="S19" t="str">
        <f t="shared" si="5"/>
        <v>Medium</v>
      </c>
      <c r="T19" t="str">
        <f t="shared" si="6"/>
        <v>OK</v>
      </c>
    </row>
    <row r="20" spans="1:20" x14ac:dyDescent="0.25">
      <c r="A20" t="s">
        <v>31</v>
      </c>
      <c r="B20">
        <v>1.4</v>
      </c>
      <c r="C20">
        <v>2.5499999999999998</v>
      </c>
      <c r="D20">
        <v>93.38</v>
      </c>
      <c r="E20">
        <v>67.55</v>
      </c>
      <c r="F20">
        <v>14.13</v>
      </c>
      <c r="G20">
        <v>85.96</v>
      </c>
      <c r="H20">
        <v>11.19</v>
      </c>
      <c r="I20">
        <v>0.27</v>
      </c>
      <c r="J20">
        <v>1.22</v>
      </c>
      <c r="K20">
        <v>1.35</v>
      </c>
      <c r="L20">
        <v>0.52</v>
      </c>
      <c r="M20">
        <v>6.17</v>
      </c>
      <c r="N20">
        <f t="shared" si="0"/>
        <v>14.03</v>
      </c>
      <c r="O20">
        <f t="shared" si="1"/>
        <v>71.929999999999993</v>
      </c>
      <c r="P20">
        <f t="shared" si="2"/>
        <v>15</v>
      </c>
      <c r="Q20">
        <f t="shared" si="3"/>
        <v>32</v>
      </c>
      <c r="R20" t="str">
        <f t="shared" si="4"/>
        <v>Medium</v>
      </c>
      <c r="S20" t="str">
        <f t="shared" si="5"/>
        <v>Low</v>
      </c>
      <c r="T20" t="str">
        <f t="shared" si="6"/>
        <v>OK</v>
      </c>
    </row>
    <row r="21" spans="1:20" x14ac:dyDescent="0.25">
      <c r="A21" t="s">
        <v>32</v>
      </c>
      <c r="B21">
        <v>1.24</v>
      </c>
      <c r="C21">
        <v>1.79</v>
      </c>
      <c r="D21">
        <v>94.96</v>
      </c>
      <c r="E21">
        <v>50.7</v>
      </c>
      <c r="F21">
        <v>12.49</v>
      </c>
      <c r="G21">
        <v>80.709999999999994</v>
      </c>
      <c r="H21">
        <v>16.86</v>
      </c>
      <c r="I21">
        <v>0.36</v>
      </c>
      <c r="J21">
        <v>0.99</v>
      </c>
      <c r="K21">
        <v>1.08</v>
      </c>
      <c r="L21">
        <v>0.67</v>
      </c>
      <c r="M21">
        <v>5.18</v>
      </c>
      <c r="N21">
        <f t="shared" si="0"/>
        <v>19.29</v>
      </c>
      <c r="O21">
        <f t="shared" si="1"/>
        <v>61.419999999999995</v>
      </c>
      <c r="P21">
        <f t="shared" si="2"/>
        <v>18</v>
      </c>
      <c r="Q21">
        <f t="shared" si="3"/>
        <v>18</v>
      </c>
      <c r="R21" t="str">
        <f t="shared" si="4"/>
        <v>Medium</v>
      </c>
      <c r="S21" t="str">
        <f t="shared" si="5"/>
        <v>Medium</v>
      </c>
      <c r="T21" t="str">
        <f t="shared" si="6"/>
        <v>OK</v>
      </c>
    </row>
    <row r="22" spans="1:20" x14ac:dyDescent="0.25">
      <c r="A22" t="s">
        <v>33</v>
      </c>
      <c r="B22">
        <v>0.42</v>
      </c>
      <c r="C22">
        <v>1.57</v>
      </c>
      <c r="D22">
        <v>97.13</v>
      </c>
      <c r="E22">
        <v>54.33</v>
      </c>
      <c r="F22">
        <v>8.5</v>
      </c>
      <c r="G22">
        <v>85.85</v>
      </c>
      <c r="H22">
        <v>12.11</v>
      </c>
      <c r="I22">
        <v>0.21</v>
      </c>
      <c r="J22">
        <v>0.91</v>
      </c>
      <c r="K22">
        <v>0.91</v>
      </c>
      <c r="L22">
        <v>0.49</v>
      </c>
      <c r="M22">
        <v>5.09</v>
      </c>
      <c r="N22">
        <f t="shared" si="0"/>
        <v>14.14</v>
      </c>
      <c r="O22">
        <f t="shared" si="1"/>
        <v>71.709999999999994</v>
      </c>
      <c r="P22">
        <f t="shared" si="2"/>
        <v>30</v>
      </c>
      <c r="Q22">
        <f t="shared" si="3"/>
        <v>31</v>
      </c>
      <c r="R22" t="str">
        <f t="shared" si="4"/>
        <v>Low</v>
      </c>
      <c r="S22" t="str">
        <f t="shared" si="5"/>
        <v>Low</v>
      </c>
      <c r="T22" t="str">
        <f t="shared" si="6"/>
        <v>OK</v>
      </c>
    </row>
    <row r="23" spans="1:20" x14ac:dyDescent="0.25">
      <c r="A23" t="s">
        <v>34</v>
      </c>
      <c r="B23">
        <v>1.24</v>
      </c>
      <c r="C23">
        <v>2.33</v>
      </c>
      <c r="D23">
        <v>94.77</v>
      </c>
      <c r="E23">
        <v>35.380000000000003</v>
      </c>
      <c r="F23">
        <v>16.489999999999998</v>
      </c>
      <c r="G23">
        <v>74.47</v>
      </c>
      <c r="H23">
        <v>18.93</v>
      </c>
      <c r="I23">
        <v>0.45</v>
      </c>
      <c r="J23">
        <v>5.41</v>
      </c>
      <c r="K23">
        <v>0.73</v>
      </c>
      <c r="L23">
        <v>1.05</v>
      </c>
      <c r="M23">
        <v>5.92</v>
      </c>
      <c r="N23">
        <f t="shared" si="0"/>
        <v>25.52</v>
      </c>
      <c r="O23">
        <f t="shared" si="1"/>
        <v>48.95</v>
      </c>
      <c r="P23">
        <f t="shared" si="2"/>
        <v>8</v>
      </c>
      <c r="Q23">
        <f t="shared" si="3"/>
        <v>6</v>
      </c>
      <c r="R23" t="str">
        <f t="shared" si="4"/>
        <v>Medium</v>
      </c>
      <c r="S23" t="str">
        <f t="shared" si="5"/>
        <v>Medium</v>
      </c>
      <c r="T23" t="str">
        <f t="shared" si="6"/>
        <v>OK</v>
      </c>
    </row>
    <row r="24" spans="1:20" x14ac:dyDescent="0.25">
      <c r="A24" t="s">
        <v>35</v>
      </c>
      <c r="B24">
        <v>1.59</v>
      </c>
      <c r="C24">
        <v>1.54</v>
      </c>
      <c r="D24">
        <v>97.48</v>
      </c>
      <c r="E24">
        <v>54.96</v>
      </c>
      <c r="F24">
        <v>12.89</v>
      </c>
      <c r="G24">
        <v>78.28</v>
      </c>
      <c r="H24">
        <v>18.11</v>
      </c>
      <c r="I24">
        <v>0.27</v>
      </c>
      <c r="J24">
        <v>2.5299999999999998</v>
      </c>
      <c r="K24">
        <v>0.81</v>
      </c>
      <c r="L24">
        <v>1.5</v>
      </c>
      <c r="M24">
        <v>4.5999999999999996</v>
      </c>
      <c r="N24">
        <f t="shared" si="0"/>
        <v>21.72</v>
      </c>
      <c r="O24">
        <f t="shared" si="1"/>
        <v>56.56</v>
      </c>
      <c r="P24">
        <f t="shared" si="2"/>
        <v>17</v>
      </c>
      <c r="Q24">
        <f t="shared" si="3"/>
        <v>11</v>
      </c>
      <c r="R24" t="str">
        <f t="shared" si="4"/>
        <v>Medium</v>
      </c>
      <c r="S24" t="str">
        <f t="shared" si="5"/>
        <v>Medium</v>
      </c>
      <c r="T24" t="str">
        <f t="shared" si="6"/>
        <v>OK</v>
      </c>
    </row>
    <row r="25" spans="1:20" x14ac:dyDescent="0.25">
      <c r="A25" t="s">
        <v>36</v>
      </c>
      <c r="B25">
        <v>1.52</v>
      </c>
      <c r="C25">
        <v>2.2400000000000002</v>
      </c>
      <c r="D25">
        <v>98.02</v>
      </c>
      <c r="E25">
        <v>59.32</v>
      </c>
      <c r="F25">
        <v>8.5500000000000007</v>
      </c>
      <c r="G25">
        <v>82.03</v>
      </c>
      <c r="H25">
        <v>15.4</v>
      </c>
      <c r="I25">
        <v>0.06</v>
      </c>
      <c r="J25">
        <v>0.83</v>
      </c>
      <c r="K25">
        <v>1.68</v>
      </c>
      <c r="L25">
        <v>0.21</v>
      </c>
      <c r="M25">
        <v>4.3499999999999996</v>
      </c>
      <c r="N25">
        <f t="shared" si="0"/>
        <v>17.97</v>
      </c>
      <c r="O25">
        <f t="shared" si="1"/>
        <v>64.06</v>
      </c>
      <c r="P25">
        <f t="shared" si="2"/>
        <v>29</v>
      </c>
      <c r="Q25">
        <f t="shared" si="3"/>
        <v>24</v>
      </c>
      <c r="R25" t="str">
        <f t="shared" si="4"/>
        <v>Low</v>
      </c>
      <c r="S25" t="str">
        <f t="shared" si="5"/>
        <v>Medium</v>
      </c>
      <c r="T25" t="str">
        <f t="shared" si="6"/>
        <v>OK</v>
      </c>
    </row>
    <row r="26" spans="1:20" x14ac:dyDescent="0.25">
      <c r="A26" t="s">
        <v>37</v>
      </c>
      <c r="B26">
        <v>7.49</v>
      </c>
      <c r="C26">
        <v>9.44</v>
      </c>
      <c r="D26">
        <v>88.05</v>
      </c>
      <c r="E26">
        <v>82.91</v>
      </c>
      <c r="F26">
        <v>15.21</v>
      </c>
      <c r="G26">
        <v>80.86</v>
      </c>
      <c r="H26">
        <v>13.49</v>
      </c>
      <c r="I26">
        <v>0.59</v>
      </c>
      <c r="J26">
        <v>3.75</v>
      </c>
      <c r="K26">
        <v>1.31</v>
      </c>
      <c r="L26">
        <v>0.48</v>
      </c>
      <c r="M26">
        <v>7.88</v>
      </c>
      <c r="N26">
        <f t="shared" si="0"/>
        <v>19.139999999999997</v>
      </c>
      <c r="O26">
        <f t="shared" si="1"/>
        <v>61.72</v>
      </c>
      <c r="P26">
        <f t="shared" si="2"/>
        <v>10</v>
      </c>
      <c r="Q26">
        <f t="shared" si="3"/>
        <v>19</v>
      </c>
      <c r="R26" t="str">
        <f t="shared" si="4"/>
        <v>Medium</v>
      </c>
      <c r="S26" t="str">
        <f t="shared" si="5"/>
        <v>Medium</v>
      </c>
      <c r="T26" t="str">
        <f t="shared" si="6"/>
        <v>OK</v>
      </c>
    </row>
    <row r="27" spans="1:20" x14ac:dyDescent="0.25">
      <c r="A27" t="s">
        <v>38</v>
      </c>
      <c r="B27">
        <v>0.63</v>
      </c>
      <c r="C27">
        <v>3.64</v>
      </c>
      <c r="D27">
        <v>91.46</v>
      </c>
      <c r="E27">
        <v>70.400000000000006</v>
      </c>
      <c r="F27">
        <v>11.45</v>
      </c>
      <c r="G27">
        <v>79.23</v>
      </c>
      <c r="H27">
        <v>18.850000000000001</v>
      </c>
      <c r="I27">
        <v>0.1</v>
      </c>
      <c r="J27">
        <v>0.51</v>
      </c>
      <c r="K27">
        <v>1.31</v>
      </c>
      <c r="L27">
        <v>0.5</v>
      </c>
      <c r="M27">
        <v>5.28</v>
      </c>
      <c r="N27">
        <f t="shared" si="0"/>
        <v>20.770000000000003</v>
      </c>
      <c r="O27">
        <f t="shared" si="1"/>
        <v>58.46</v>
      </c>
      <c r="P27">
        <f t="shared" si="2"/>
        <v>23</v>
      </c>
      <c r="Q27">
        <f t="shared" si="3"/>
        <v>14</v>
      </c>
      <c r="R27" t="str">
        <f t="shared" si="4"/>
        <v>Medium</v>
      </c>
      <c r="S27" t="str">
        <f t="shared" si="5"/>
        <v>Medium</v>
      </c>
      <c r="T27" t="str">
        <f t="shared" si="6"/>
        <v>OK</v>
      </c>
    </row>
    <row r="28" spans="1:20" x14ac:dyDescent="0.25">
      <c r="A28" t="s">
        <v>39</v>
      </c>
      <c r="B28">
        <v>2.36</v>
      </c>
      <c r="C28">
        <v>3.51</v>
      </c>
      <c r="D28">
        <v>96.32</v>
      </c>
      <c r="E28">
        <v>55.06</v>
      </c>
      <c r="F28">
        <v>12.04</v>
      </c>
      <c r="G28">
        <v>81.84</v>
      </c>
      <c r="H28">
        <v>15.3</v>
      </c>
      <c r="I28">
        <v>0.48</v>
      </c>
      <c r="J28">
        <v>1.5</v>
      </c>
      <c r="K28">
        <v>0.89</v>
      </c>
      <c r="L28">
        <v>2.41</v>
      </c>
      <c r="M28">
        <v>6.39</v>
      </c>
      <c r="N28">
        <f t="shared" si="0"/>
        <v>18.170000000000002</v>
      </c>
      <c r="O28">
        <f t="shared" si="1"/>
        <v>63.67</v>
      </c>
      <c r="P28">
        <f t="shared" si="2"/>
        <v>20</v>
      </c>
      <c r="Q28">
        <f t="shared" si="3"/>
        <v>23</v>
      </c>
      <c r="R28" t="str">
        <f t="shared" si="4"/>
        <v>Medium</v>
      </c>
      <c r="S28" t="str">
        <f t="shared" si="5"/>
        <v>Medium</v>
      </c>
      <c r="T28" t="str">
        <f t="shared" si="6"/>
        <v>OK</v>
      </c>
    </row>
    <row r="29" spans="1:20" x14ac:dyDescent="0.25">
      <c r="A29" t="s">
        <v>40</v>
      </c>
      <c r="B29">
        <v>0.44</v>
      </c>
      <c r="C29">
        <v>1.5</v>
      </c>
      <c r="D29">
        <v>98</v>
      </c>
      <c r="E29">
        <v>66.12</v>
      </c>
      <c r="F29">
        <v>8.56</v>
      </c>
      <c r="G29">
        <v>85.1</v>
      </c>
      <c r="H29">
        <v>14.23</v>
      </c>
      <c r="I29">
        <v>0</v>
      </c>
      <c r="J29">
        <v>0.33</v>
      </c>
      <c r="K29">
        <v>0.34</v>
      </c>
      <c r="L29">
        <v>0.35</v>
      </c>
      <c r="M29">
        <v>10.9</v>
      </c>
      <c r="N29">
        <f t="shared" si="0"/>
        <v>14.9</v>
      </c>
      <c r="O29">
        <f t="shared" si="1"/>
        <v>70.199999999999989</v>
      </c>
      <c r="P29">
        <f t="shared" si="2"/>
        <v>28</v>
      </c>
      <c r="Q29">
        <f t="shared" si="3"/>
        <v>29</v>
      </c>
      <c r="R29" t="str">
        <f t="shared" si="4"/>
        <v>Low</v>
      </c>
      <c r="S29" t="str">
        <f t="shared" si="5"/>
        <v>Low</v>
      </c>
      <c r="T29" t="str">
        <f t="shared" si="6"/>
        <v>OK</v>
      </c>
    </row>
    <row r="30" spans="1:20" x14ac:dyDescent="0.25">
      <c r="A30" t="s">
        <v>41</v>
      </c>
      <c r="B30">
        <v>0.38</v>
      </c>
      <c r="D30">
        <v>92.16</v>
      </c>
      <c r="E30">
        <v>72.61</v>
      </c>
      <c r="F30">
        <v>12.14</v>
      </c>
      <c r="G30">
        <v>88.41</v>
      </c>
      <c r="H30">
        <v>10.039999999999999</v>
      </c>
      <c r="I30">
        <v>0.18</v>
      </c>
      <c r="J30">
        <v>1.36</v>
      </c>
      <c r="K30">
        <v>0</v>
      </c>
      <c r="L30">
        <v>0.18</v>
      </c>
      <c r="M30">
        <v>5.78</v>
      </c>
      <c r="N30">
        <f t="shared" si="0"/>
        <v>11.579999999999998</v>
      </c>
      <c r="O30">
        <f t="shared" si="1"/>
        <v>76.83</v>
      </c>
      <c r="P30">
        <f t="shared" si="2"/>
        <v>19</v>
      </c>
      <c r="Q30">
        <f t="shared" si="3"/>
        <v>33</v>
      </c>
      <c r="R30" t="str">
        <f t="shared" si="4"/>
        <v>Medium</v>
      </c>
      <c r="S30" t="str">
        <f t="shared" si="5"/>
        <v>Low</v>
      </c>
      <c r="T30" t="str">
        <f t="shared" si="6"/>
        <v>OK</v>
      </c>
    </row>
    <row r="31" spans="1:20" x14ac:dyDescent="0.25">
      <c r="A31" t="s">
        <v>42</v>
      </c>
      <c r="B31">
        <v>0.9</v>
      </c>
      <c r="C31">
        <v>1.49</v>
      </c>
      <c r="D31">
        <v>98.53</v>
      </c>
      <c r="E31">
        <v>58.36</v>
      </c>
      <c r="F31">
        <v>4.66</v>
      </c>
      <c r="G31">
        <v>90.33</v>
      </c>
      <c r="H31">
        <v>7.91</v>
      </c>
      <c r="I31">
        <v>0.32</v>
      </c>
      <c r="J31">
        <v>1.1299999999999999</v>
      </c>
      <c r="K31">
        <v>0.31</v>
      </c>
      <c r="L31">
        <v>0.22</v>
      </c>
      <c r="M31">
        <v>4.97</v>
      </c>
      <c r="N31">
        <f t="shared" si="0"/>
        <v>9.67</v>
      </c>
      <c r="O31">
        <f t="shared" si="1"/>
        <v>80.66</v>
      </c>
      <c r="P31">
        <f t="shared" si="2"/>
        <v>33</v>
      </c>
      <c r="Q31">
        <f t="shared" si="3"/>
        <v>35</v>
      </c>
      <c r="R31" t="str">
        <f t="shared" si="4"/>
        <v>Low</v>
      </c>
      <c r="S31" t="str">
        <f t="shared" si="5"/>
        <v>Low</v>
      </c>
      <c r="T31" t="str">
        <f t="shared" si="6"/>
        <v>OK</v>
      </c>
    </row>
    <row r="32" spans="1:20" x14ac:dyDescent="0.25">
      <c r="A32" t="s">
        <v>43</v>
      </c>
      <c r="B32">
        <v>2.66</v>
      </c>
      <c r="C32">
        <v>6.58</v>
      </c>
      <c r="D32">
        <v>91.32</v>
      </c>
      <c r="E32">
        <v>53.78</v>
      </c>
      <c r="F32">
        <v>14.9</v>
      </c>
      <c r="G32">
        <v>80.92</v>
      </c>
      <c r="H32">
        <v>13.53</v>
      </c>
      <c r="I32">
        <v>1.21</v>
      </c>
      <c r="J32">
        <v>2.76</v>
      </c>
      <c r="K32">
        <v>1.58</v>
      </c>
      <c r="L32">
        <v>0.09</v>
      </c>
      <c r="M32">
        <v>9.3699999999999992</v>
      </c>
      <c r="N32">
        <f t="shared" si="0"/>
        <v>19.079999999999998</v>
      </c>
      <c r="O32">
        <f t="shared" si="1"/>
        <v>61.84</v>
      </c>
      <c r="P32">
        <f t="shared" si="2"/>
        <v>13</v>
      </c>
      <c r="Q32">
        <f t="shared" si="3"/>
        <v>20</v>
      </c>
      <c r="R32" t="str">
        <f t="shared" si="4"/>
        <v>Medium</v>
      </c>
      <c r="S32" t="str">
        <f t="shared" si="5"/>
        <v>Medium</v>
      </c>
      <c r="T32" t="str">
        <f t="shared" si="6"/>
        <v>OK</v>
      </c>
    </row>
    <row r="33" spans="1:20" x14ac:dyDescent="0.25">
      <c r="A33" t="s">
        <v>44</v>
      </c>
      <c r="B33">
        <v>1.0900000000000001</v>
      </c>
      <c r="C33">
        <v>1.74</v>
      </c>
      <c r="D33">
        <v>86.35</v>
      </c>
      <c r="E33">
        <v>70.28</v>
      </c>
      <c r="F33">
        <v>11.7</v>
      </c>
      <c r="G33">
        <v>77.44</v>
      </c>
      <c r="H33">
        <v>19.97</v>
      </c>
      <c r="I33">
        <v>0.24</v>
      </c>
      <c r="J33">
        <v>1.24</v>
      </c>
      <c r="K33">
        <v>1.1100000000000001</v>
      </c>
      <c r="L33">
        <v>0.08</v>
      </c>
      <c r="M33">
        <v>17.25</v>
      </c>
      <c r="N33">
        <f t="shared" si="0"/>
        <v>22.559999999999995</v>
      </c>
      <c r="O33">
        <f t="shared" si="1"/>
        <v>54.88</v>
      </c>
      <c r="P33">
        <f t="shared" si="2"/>
        <v>22</v>
      </c>
      <c r="Q33">
        <f t="shared" si="3"/>
        <v>10</v>
      </c>
      <c r="R33" t="str">
        <f t="shared" si="4"/>
        <v>Medium</v>
      </c>
      <c r="S33" t="str">
        <f t="shared" si="5"/>
        <v>Medium</v>
      </c>
      <c r="T33" t="str">
        <f t="shared" si="6"/>
        <v>OK</v>
      </c>
    </row>
    <row r="34" spans="1:20" x14ac:dyDescent="0.25">
      <c r="A34" t="s">
        <v>45</v>
      </c>
      <c r="B34">
        <v>0</v>
      </c>
      <c r="C34">
        <v>2.0299999999999998</v>
      </c>
      <c r="D34">
        <v>93.79</v>
      </c>
      <c r="E34">
        <v>72.83</v>
      </c>
      <c r="F34">
        <v>1.27</v>
      </c>
      <c r="G34">
        <v>80.3</v>
      </c>
      <c r="H34">
        <v>18.66</v>
      </c>
      <c r="J34">
        <v>0</v>
      </c>
      <c r="K34">
        <v>1.04</v>
      </c>
      <c r="L34">
        <v>0.04</v>
      </c>
      <c r="M34">
        <v>15.38</v>
      </c>
      <c r="N34">
        <f t="shared" si="0"/>
        <v>19.7</v>
      </c>
      <c r="O34">
        <f t="shared" si="1"/>
        <v>60.599999999999994</v>
      </c>
      <c r="P34">
        <f t="shared" si="2"/>
        <v>36</v>
      </c>
      <c r="Q34">
        <f t="shared" si="3"/>
        <v>17</v>
      </c>
      <c r="R34" t="str">
        <f t="shared" si="4"/>
        <v>Low</v>
      </c>
      <c r="S34" t="str">
        <f t="shared" si="5"/>
        <v>Medium</v>
      </c>
      <c r="T34" t="str">
        <f t="shared" si="6"/>
        <v>OK</v>
      </c>
    </row>
    <row r="35" spans="1:20" x14ac:dyDescent="0.25">
      <c r="A35" t="s">
        <v>46</v>
      </c>
      <c r="B35">
        <v>2.93</v>
      </c>
      <c r="C35">
        <v>2.86</v>
      </c>
      <c r="D35">
        <v>92.58</v>
      </c>
      <c r="E35">
        <v>69.760000000000005</v>
      </c>
      <c r="F35">
        <v>10.039999999999999</v>
      </c>
      <c r="G35">
        <v>79.86</v>
      </c>
      <c r="H35">
        <v>14.87</v>
      </c>
      <c r="I35">
        <v>0.27</v>
      </c>
      <c r="J35">
        <v>4.09</v>
      </c>
      <c r="K35">
        <v>0.9</v>
      </c>
      <c r="L35">
        <v>0.04</v>
      </c>
      <c r="M35">
        <v>7.67</v>
      </c>
      <c r="N35">
        <f t="shared" si="0"/>
        <v>20.129999999999995</v>
      </c>
      <c r="O35">
        <f t="shared" si="1"/>
        <v>59.730000000000004</v>
      </c>
      <c r="P35">
        <f t="shared" si="2"/>
        <v>27</v>
      </c>
      <c r="Q35">
        <f t="shared" si="3"/>
        <v>16</v>
      </c>
      <c r="R35" t="str">
        <f t="shared" si="4"/>
        <v>Medium</v>
      </c>
      <c r="S35" t="str">
        <f t="shared" si="5"/>
        <v>Medium</v>
      </c>
      <c r="T35" t="str">
        <f t="shared" si="6"/>
        <v>OK</v>
      </c>
    </row>
    <row r="36" spans="1:20" x14ac:dyDescent="0.25">
      <c r="A36" t="s">
        <v>47</v>
      </c>
      <c r="B36">
        <v>1.72</v>
      </c>
      <c r="C36">
        <v>3.54</v>
      </c>
      <c r="D36">
        <v>88.93</v>
      </c>
      <c r="E36">
        <v>55.93</v>
      </c>
      <c r="F36">
        <v>19.11</v>
      </c>
      <c r="G36">
        <v>76.760000000000005</v>
      </c>
      <c r="H36">
        <v>19.3</v>
      </c>
      <c r="I36">
        <v>0.1</v>
      </c>
      <c r="J36">
        <v>2.61</v>
      </c>
      <c r="K36">
        <v>1.22</v>
      </c>
      <c r="L36">
        <v>7.0000000000000007E-2</v>
      </c>
      <c r="M36">
        <v>11.29</v>
      </c>
      <c r="N36">
        <f t="shared" si="0"/>
        <v>23.23</v>
      </c>
      <c r="O36">
        <f t="shared" si="1"/>
        <v>53.53</v>
      </c>
      <c r="P36">
        <f t="shared" si="2"/>
        <v>4</v>
      </c>
      <c r="Q36">
        <f t="shared" si="3"/>
        <v>9</v>
      </c>
      <c r="R36" t="str">
        <f t="shared" si="4"/>
        <v>Medium</v>
      </c>
      <c r="S36" t="str">
        <f t="shared" si="5"/>
        <v>Medium</v>
      </c>
      <c r="T36" t="str">
        <f t="shared" si="6"/>
        <v>OK</v>
      </c>
    </row>
    <row r="37" spans="1:20" x14ac:dyDescent="0.25">
      <c r="A37" t="s">
        <v>48</v>
      </c>
      <c r="B37">
        <v>1.39</v>
      </c>
      <c r="C37">
        <v>0.1</v>
      </c>
      <c r="D37">
        <v>96.42</v>
      </c>
      <c r="E37">
        <v>57.28</v>
      </c>
      <c r="F37">
        <v>3.49</v>
      </c>
      <c r="G37">
        <v>85.62</v>
      </c>
      <c r="H37">
        <v>11.61</v>
      </c>
      <c r="I37">
        <v>0.23</v>
      </c>
      <c r="J37">
        <v>0.45</v>
      </c>
      <c r="K37">
        <v>2.09</v>
      </c>
      <c r="L37">
        <v>0.04</v>
      </c>
      <c r="M37">
        <v>9.15</v>
      </c>
      <c r="N37">
        <f t="shared" si="0"/>
        <v>14.379999999999999</v>
      </c>
      <c r="O37">
        <f t="shared" si="1"/>
        <v>71.240000000000009</v>
      </c>
      <c r="P37">
        <f t="shared" si="2"/>
        <v>34</v>
      </c>
      <c r="Q37">
        <f t="shared" si="3"/>
        <v>30</v>
      </c>
      <c r="R37" t="str">
        <f t="shared" si="4"/>
        <v>Low</v>
      </c>
      <c r="S37" t="str">
        <f t="shared" si="5"/>
        <v>Low</v>
      </c>
      <c r="T37" t="str">
        <f t="shared" si="6"/>
        <v>OK</v>
      </c>
    </row>
    <row r="38" spans="1:20" x14ac:dyDescent="0.25">
      <c r="A38" t="s">
        <v>49</v>
      </c>
      <c r="N38">
        <f t="shared" si="0"/>
        <v>0</v>
      </c>
      <c r="O38">
        <f t="shared" si="1"/>
        <v>0</v>
      </c>
      <c r="P38" t="e">
        <f t="shared" si="2"/>
        <v>#N/A</v>
      </c>
      <c r="Q38">
        <f t="shared" si="3"/>
        <v>37</v>
      </c>
      <c r="R38" t="str">
        <f t="shared" si="4"/>
        <v>NA</v>
      </c>
      <c r="S38" t="str">
        <f t="shared" si="5"/>
        <v>Low</v>
      </c>
      <c r="T38" t="str">
        <f t="shared" si="6"/>
        <v>CHECK</v>
      </c>
    </row>
    <row r="39" spans="1:20" x14ac:dyDescent="0.25">
      <c r="A39" t="s">
        <v>50</v>
      </c>
      <c r="N39">
        <f t="shared" si="0"/>
        <v>0</v>
      </c>
      <c r="O39">
        <f t="shared" si="1"/>
        <v>0</v>
      </c>
      <c r="P39" t="e">
        <f t="shared" si="2"/>
        <v>#N/A</v>
      </c>
      <c r="Q39">
        <f t="shared" si="3"/>
        <v>37</v>
      </c>
      <c r="R39" t="str">
        <f t="shared" si="4"/>
        <v>NA</v>
      </c>
      <c r="S39" t="str">
        <f t="shared" si="5"/>
        <v>Low</v>
      </c>
      <c r="T39" t="str">
        <f t="shared" si="6"/>
        <v>CHECK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6F74-016E-42B4-BC54-51CCBDDADFB8}">
  <dimension ref="A1:H32"/>
  <sheetViews>
    <sheetView topLeftCell="A13" workbookViewId="0">
      <selection activeCell="A22" sqref="A22:C32"/>
    </sheetView>
  </sheetViews>
  <sheetFormatPr defaultRowHeight="15" x14ac:dyDescent="0.25"/>
  <cols>
    <col min="1" max="1" width="23" customWidth="1"/>
    <col min="2" max="2" width="14.5703125" customWidth="1"/>
    <col min="3" max="3" width="17.7109375" customWidth="1"/>
    <col min="4" max="4" width="24.42578125" customWidth="1"/>
    <col min="5" max="5" width="17" customWidth="1"/>
    <col min="7" max="7" width="25" customWidth="1"/>
    <col min="8" max="8" width="17" customWidth="1"/>
  </cols>
  <sheetData>
    <row r="1" spans="1:8" ht="45" x14ac:dyDescent="0.25">
      <c r="A1" s="4" t="s">
        <v>126</v>
      </c>
      <c r="B1" s="4" t="s">
        <v>127</v>
      </c>
      <c r="D1" s="4" t="s">
        <v>128</v>
      </c>
      <c r="E1" s="4" t="s">
        <v>127</v>
      </c>
    </row>
    <row r="2" spans="1:8" x14ac:dyDescent="0.25">
      <c r="A2" s="3" t="s">
        <v>82</v>
      </c>
      <c r="B2" s="3">
        <f>AVERAGE('03_Clean_Data'!B2:B39)</f>
        <v>1.7438888888888895</v>
      </c>
      <c r="D2" s="3" t="s">
        <v>87</v>
      </c>
      <c r="E2" s="3">
        <f>AVERAGE('03_Clean_Data'!G2:G39)</f>
        <v>79.960833333333341</v>
      </c>
    </row>
    <row r="3" spans="1:8" ht="30" x14ac:dyDescent="0.25">
      <c r="A3" s="3" t="s">
        <v>83</v>
      </c>
      <c r="B3" s="3">
        <f>AVERAGE('03_Clean_Data'!C2:C39)</f>
        <v>3.1405714285714286</v>
      </c>
      <c r="D3" s="3" t="s">
        <v>88</v>
      </c>
      <c r="E3" s="3">
        <f>AVERAGE('03_Clean_Data'!H2:H39)</f>
        <v>15.482222222222223</v>
      </c>
    </row>
    <row r="4" spans="1:8" ht="45" x14ac:dyDescent="0.25">
      <c r="A4" s="3" t="s">
        <v>84</v>
      </c>
      <c r="B4" s="3">
        <f>AVERAGE('03_Clean_Data'!D2:D39)</f>
        <v>94.821388888888904</v>
      </c>
      <c r="D4" s="3" t="s">
        <v>89</v>
      </c>
      <c r="E4" s="3">
        <f>AVERAGE('03_Clean_Data'!I2:I39)</f>
        <v>0.44285714285714278</v>
      </c>
    </row>
    <row r="5" spans="1:8" ht="30" x14ac:dyDescent="0.25">
      <c r="A5" s="3" t="s">
        <v>85</v>
      </c>
      <c r="B5" s="3">
        <f>AVERAGE('03_Clean_Data'!E2:E39)</f>
        <v>50.572222222222223</v>
      </c>
      <c r="D5" s="3" t="s">
        <v>90</v>
      </c>
      <c r="E5" s="3">
        <f>AVERAGE('03_Clean_Data'!J2:J39)</f>
        <v>3.1083333333333329</v>
      </c>
    </row>
    <row r="6" spans="1:8" ht="30" x14ac:dyDescent="0.25">
      <c r="A6" s="3" t="s">
        <v>86</v>
      </c>
      <c r="B6">
        <f>AVERAGE('03_Clean_Data'!F2:F39)</f>
        <v>13.210555555555555</v>
      </c>
      <c r="D6" s="3" t="s">
        <v>91</v>
      </c>
      <c r="E6">
        <f>AVERAGE('03_Clean_Data'!K2:K39)</f>
        <v>1.0158333333333331</v>
      </c>
    </row>
    <row r="9" spans="1:8" ht="45" x14ac:dyDescent="0.25">
      <c r="A9" s="4" t="s">
        <v>129</v>
      </c>
      <c r="B9" s="4" t="s">
        <v>130</v>
      </c>
      <c r="D9" s="4" t="s">
        <v>135</v>
      </c>
      <c r="E9" s="4" t="s">
        <v>130</v>
      </c>
    </row>
    <row r="10" spans="1:8" ht="30" x14ac:dyDescent="0.25">
      <c r="A10" s="3" t="s">
        <v>131</v>
      </c>
      <c r="B10" s="3">
        <f>MAX('03_Clean_Data'!F2:F39)</f>
        <v>41.4</v>
      </c>
      <c r="D10" s="3" t="s">
        <v>131</v>
      </c>
      <c r="E10" s="3">
        <f>MAX('03_Clean_Data'!N2:N39)</f>
        <v>54.46</v>
      </c>
    </row>
    <row r="11" spans="1:8" ht="60" x14ac:dyDescent="0.25">
      <c r="A11" s="3" t="s">
        <v>132</v>
      </c>
      <c r="B11" s="3" t="str">
        <f>INDEX('03_Clean_Data'!A2:A39,MATCH(B10,'03_Clean_Data'!F2:F39,0))</f>
        <v>DKI Jakarta</v>
      </c>
      <c r="D11" s="3" t="s">
        <v>132</v>
      </c>
      <c r="E11" s="3" t="str">
        <f>INDEX('03_Clean_Data'!A2:A39,MATCH(E10,'03_Clean_Data'!N2:N39,0))</f>
        <v>DKI Jakarta</v>
      </c>
    </row>
    <row r="12" spans="1:8" ht="45" x14ac:dyDescent="0.25">
      <c r="A12" s="3" t="s">
        <v>133</v>
      </c>
      <c r="B12" s="3">
        <f>MIN('03_Clean_Data'!F2:F39)</f>
        <v>1.27</v>
      </c>
      <c r="D12" s="3" t="s">
        <v>133</v>
      </c>
      <c r="E12" s="3">
        <f>MIN('03_Clean_Data'!N2:N39)</f>
        <v>0</v>
      </c>
    </row>
    <row r="13" spans="1:8" ht="75" x14ac:dyDescent="0.25">
      <c r="A13" s="3" t="s">
        <v>134</v>
      </c>
      <c r="B13" t="str">
        <f>INDEX('03_Clean_Data'!A2:A39,MATCH(B12,'03_Clean_Data'!F2:F39,0))</f>
        <v>Papua Barat</v>
      </c>
      <c r="D13" s="3" t="s">
        <v>134</v>
      </c>
      <c r="E13" t="str">
        <f>INDEX('03_Clean_Data'!A2:A39,MATCH(E12,'03_Clean_Data'!N2:N39,0))</f>
        <v>Papua Tengah</v>
      </c>
    </row>
    <row r="16" spans="1:8" ht="45" x14ac:dyDescent="0.25">
      <c r="A16" s="4" t="s">
        <v>136</v>
      </c>
      <c r="B16" s="4" t="s">
        <v>127</v>
      </c>
      <c r="D16" s="4" t="s">
        <v>139</v>
      </c>
      <c r="E16" s="4" t="s">
        <v>140</v>
      </c>
      <c r="G16" s="4" t="s">
        <v>144</v>
      </c>
      <c r="H16" s="4" t="s">
        <v>140</v>
      </c>
    </row>
    <row r="17" spans="1:8" x14ac:dyDescent="0.25">
      <c r="A17" s="3" t="s">
        <v>87</v>
      </c>
      <c r="B17" s="3">
        <f>AVERAGE('03_Clean_Data'!G2:G39)</f>
        <v>79.960833333333341</v>
      </c>
      <c r="D17" s="3" t="s">
        <v>141</v>
      </c>
      <c r="E17" s="3">
        <f>COUNTIF('03_Clean_Data'!R2:R39,"High")</f>
        <v>3</v>
      </c>
      <c r="G17" s="3" t="s">
        <v>141</v>
      </c>
      <c r="H17" s="3">
        <f>COUNTIF('03_Clean_Data'!S2:S39,"High")</f>
        <v>1</v>
      </c>
    </row>
    <row r="18" spans="1:8" ht="30" x14ac:dyDescent="0.25">
      <c r="A18" s="3" t="s">
        <v>137</v>
      </c>
      <c r="B18" s="3">
        <f>AVERAGE('03_Clean_Data'!N2:N39)</f>
        <v>18.98236842105263</v>
      </c>
      <c r="D18" s="3" t="s">
        <v>142</v>
      </c>
      <c r="E18" s="3">
        <f>COUNTIF('03_Clean_Data'!R2:R39,"Medium")</f>
        <v>24</v>
      </c>
      <c r="G18" s="3" t="s">
        <v>142</v>
      </c>
      <c r="H18" s="3">
        <f>COUNTIF('03_Clean_Data'!S2:S39,"Medium")</f>
        <v>27</v>
      </c>
    </row>
    <row r="19" spans="1:8" x14ac:dyDescent="0.25">
      <c r="A19" s="3" t="s">
        <v>138</v>
      </c>
      <c r="B19">
        <f>B17-B18</f>
        <v>60.978464912280714</v>
      </c>
      <c r="D19" s="3" t="s">
        <v>143</v>
      </c>
      <c r="E19">
        <f>COUNTIF('03_Clean_Data'!R2:R39,"Low")</f>
        <v>9</v>
      </c>
      <c r="G19" s="3" t="s">
        <v>143</v>
      </c>
      <c r="H19">
        <f>COUNTIF('03_Clean_Data'!S2:S39,"Low")</f>
        <v>10</v>
      </c>
    </row>
    <row r="22" spans="1:8" ht="30" x14ac:dyDescent="0.25">
      <c r="A22" s="4" t="s">
        <v>145</v>
      </c>
      <c r="B22" s="4" t="s">
        <v>0</v>
      </c>
      <c r="C22" s="4" t="s">
        <v>5</v>
      </c>
    </row>
    <row r="23" spans="1:8" x14ac:dyDescent="0.25">
      <c r="A23" s="3">
        <v>1</v>
      </c>
      <c r="B23" s="3" t="str">
        <f>INDEX('03_Clean_Data'!$A$2:$A$39,MATCH(A23,'03_Clean_Data'!$P$2:$P$39,0))</f>
        <v>DKI Jakarta</v>
      </c>
      <c r="C23" s="3">
        <f>INDEX('03_Clean_Data'!$F$2:$F$39,MATCH(A23,'03_Clean_Data'!$P$2:$P$39,0))</f>
        <v>41.4</v>
      </c>
    </row>
    <row r="24" spans="1:8" x14ac:dyDescent="0.25">
      <c r="A24" s="3">
        <v>2</v>
      </c>
      <c r="B24" s="3" t="str">
        <f>INDEX('03_Clean_Data'!$A$2:$A$39,MATCH(A24,'03_Clean_Data'!$P$2:$P$39,0))</f>
        <v>Banten</v>
      </c>
      <c r="C24" s="3">
        <f>INDEX('03_Clean_Data'!$F$2:$F$39,MATCH(A24,'03_Clean_Data'!$P$2:$P$39,0))</f>
        <v>26.57</v>
      </c>
    </row>
    <row r="25" spans="1:8" x14ac:dyDescent="0.25">
      <c r="A25" s="3">
        <v>3</v>
      </c>
      <c r="B25" s="3" t="str">
        <f>INDEX('03_Clean_Data'!$A$2:$A$39,MATCH(A25,'03_Clean_Data'!$P$2:$P$39,0))</f>
        <v>Bali</v>
      </c>
      <c r="C25" s="3">
        <f>INDEX('03_Clean_Data'!$F$2:$F$39,MATCH(A25,'03_Clean_Data'!$P$2:$P$39,0))</f>
        <v>22.85</v>
      </c>
    </row>
    <row r="26" spans="1:8" x14ac:dyDescent="0.25">
      <c r="A26" s="3">
        <v>4</v>
      </c>
      <c r="B26" s="3" t="str">
        <f>INDEX('03_Clean_Data'!$A$2:$A$39,MATCH(A26,'03_Clean_Data'!$P$2:$P$39,0))</f>
        <v>Papua</v>
      </c>
      <c r="C26" s="3">
        <f>INDEX('03_Clean_Data'!$F$2:$F$39,MATCH(A26,'03_Clean_Data'!$P$2:$P$39,0))</f>
        <v>19.11</v>
      </c>
    </row>
    <row r="27" spans="1:8" x14ac:dyDescent="0.25">
      <c r="A27" s="3">
        <v>5</v>
      </c>
      <c r="B27" s="3" t="str">
        <f>INDEX('03_Clean_Data'!$A$2:$A$39,MATCH(A27,'03_Clean_Data'!$P$2:$P$39,0))</f>
        <v>Jawa Barat</v>
      </c>
      <c r="C27" s="3">
        <f>INDEX('03_Clean_Data'!$F$2:$F$39,MATCH(A27,'03_Clean_Data'!$P$2:$P$39,0))</f>
        <v>18.420000000000002</v>
      </c>
    </row>
    <row r="28" spans="1:8" x14ac:dyDescent="0.25">
      <c r="A28" s="3">
        <v>6</v>
      </c>
      <c r="B28" s="3" t="str">
        <f>INDEX('03_Clean_Data'!$A$2:$A$39,MATCH(A28,'03_Clean_Data'!$P$2:$P$39,0))</f>
        <v>Sumatera Barat</v>
      </c>
      <c r="C28" s="3">
        <f>INDEX('03_Clean_Data'!$F$2:$F$39,MATCH(A28,'03_Clean_Data'!$P$2:$P$39,0))</f>
        <v>16.940000000000001</v>
      </c>
    </row>
    <row r="29" spans="1:8" ht="30" x14ac:dyDescent="0.25">
      <c r="A29" s="3">
        <v>7</v>
      </c>
      <c r="B29" s="3" t="str">
        <f>INDEX('03_Clean_Data'!$A$2:$A$39,MATCH(A29,'03_Clean_Data'!$P$2:$P$39,0))</f>
        <v>Kepulauan Riau</v>
      </c>
      <c r="C29" s="3">
        <f>INDEX('03_Clean_Data'!$F$2:$F$39,MATCH(A29,'03_Clean_Data'!$P$2:$P$39,0))</f>
        <v>16.89</v>
      </c>
    </row>
    <row r="30" spans="1:8" ht="30" x14ac:dyDescent="0.25">
      <c r="A30" s="3">
        <v>8</v>
      </c>
      <c r="B30" s="3" t="str">
        <f>INDEX('03_Clean_Data'!$A$2:$A$39,MATCH(A30,'03_Clean_Data'!$P$2:$P$39,0))</f>
        <v>Kalimantan Selatan</v>
      </c>
      <c r="C30" s="3">
        <f>INDEX('03_Clean_Data'!$F$2:$F$39,MATCH(A30,'03_Clean_Data'!$P$2:$P$39,0))</f>
        <v>16.489999999999998</v>
      </c>
    </row>
    <row r="31" spans="1:8" x14ac:dyDescent="0.25">
      <c r="A31" s="3">
        <v>9</v>
      </c>
      <c r="B31" s="3" t="str">
        <f>INDEX('03_Clean_Data'!$A$2:$A$39,MATCH(A31,'03_Clean_Data'!$P$2:$P$39,0))</f>
        <v>D.I. Yogyakarta</v>
      </c>
      <c r="C31" s="3">
        <f>INDEX('03_Clean_Data'!$F$2:$F$39,MATCH(A31,'03_Clean_Data'!$P$2:$P$39,0))</f>
        <v>16.03</v>
      </c>
    </row>
    <row r="32" spans="1:8" x14ac:dyDescent="0.25">
      <c r="A32" s="3">
        <v>10</v>
      </c>
      <c r="B32" s="3" t="str">
        <f>INDEX('03_Clean_Data'!$A$2:$A$39,MATCH(A32,'03_Clean_Data'!$P$2:$P$39,0))</f>
        <v>Sulawesi Utara</v>
      </c>
      <c r="C32" s="3">
        <f>INDEX('03_Clean_Data'!$F$2:$F$39,MATCH(A32,'03_Clean_Data'!$P$2:$P$39,0))</f>
        <v>15.21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23C6-591A-4983-B948-7AEBA8CCD28D}">
  <dimension ref="A1:K40"/>
  <sheetViews>
    <sheetView tabSelected="1" workbookViewId="0">
      <selection activeCell="M8" sqref="M8"/>
    </sheetView>
  </sheetViews>
  <sheetFormatPr defaultRowHeight="15" x14ac:dyDescent="0.25"/>
  <cols>
    <col min="1" max="1" width="18.28515625" bestFit="1" customWidth="1"/>
    <col min="2" max="2" width="15.7109375" bestFit="1" customWidth="1"/>
    <col min="4" max="4" width="19.85546875" bestFit="1" customWidth="1"/>
    <col min="5" max="5" width="18.7109375" bestFit="1" customWidth="1"/>
    <col min="7" max="7" width="19.85546875" bestFit="1" customWidth="1"/>
    <col min="8" max="8" width="12" bestFit="1" customWidth="1"/>
    <col min="10" max="10" width="21.7109375" customWidth="1"/>
    <col min="11" max="11" width="14.5703125" customWidth="1"/>
  </cols>
  <sheetData>
    <row r="1" spans="1:11" ht="45" x14ac:dyDescent="0.25">
      <c r="A1" s="5" t="s">
        <v>146</v>
      </c>
      <c r="B1" t="s">
        <v>5</v>
      </c>
      <c r="D1" s="5" t="s">
        <v>146</v>
      </c>
      <c r="E1" t="s">
        <v>95</v>
      </c>
      <c r="G1" s="5" t="s">
        <v>146</v>
      </c>
      <c r="H1" t="s">
        <v>6</v>
      </c>
      <c r="J1" s="3" t="s">
        <v>126</v>
      </c>
      <c r="K1" s="3" t="s">
        <v>127</v>
      </c>
    </row>
    <row r="2" spans="1:11" x14ac:dyDescent="0.25">
      <c r="A2" s="6" t="s">
        <v>23</v>
      </c>
      <c r="B2">
        <v>41.4</v>
      </c>
      <c r="D2" s="6" t="s">
        <v>23</v>
      </c>
      <c r="E2">
        <v>54.46</v>
      </c>
      <c r="G2" s="6" t="s">
        <v>21</v>
      </c>
      <c r="H2">
        <v>90.69</v>
      </c>
      <c r="J2" s="3" t="s">
        <v>82</v>
      </c>
      <c r="K2" s="3">
        <f>'04_Analysis'!B2</f>
        <v>1.7438888888888895</v>
      </c>
    </row>
    <row r="3" spans="1:11" x14ac:dyDescent="0.25">
      <c r="A3" s="6" t="s">
        <v>28</v>
      </c>
      <c r="B3">
        <v>26.57</v>
      </c>
      <c r="D3" s="6" t="s">
        <v>28</v>
      </c>
      <c r="E3">
        <v>29.48</v>
      </c>
      <c r="G3" s="6" t="s">
        <v>42</v>
      </c>
      <c r="H3">
        <v>90.33</v>
      </c>
      <c r="J3" s="3" t="s">
        <v>83</v>
      </c>
      <c r="K3" s="3">
        <f>'04_Analysis'!B3</f>
        <v>3.1405714285714286</v>
      </c>
    </row>
    <row r="4" spans="1:11" ht="45" x14ac:dyDescent="0.25">
      <c r="A4" s="6" t="s">
        <v>29</v>
      </c>
      <c r="B4">
        <v>22.85</v>
      </c>
      <c r="D4" s="6" t="s">
        <v>22</v>
      </c>
      <c r="E4">
        <v>26.35</v>
      </c>
      <c r="G4" s="6" t="s">
        <v>14</v>
      </c>
      <c r="H4">
        <v>89.35</v>
      </c>
      <c r="J4" s="3" t="s">
        <v>84</v>
      </c>
      <c r="K4" s="3">
        <f>'04_Analysis'!B4</f>
        <v>94.821388888888904</v>
      </c>
    </row>
    <row r="5" spans="1:11" ht="30" x14ac:dyDescent="0.25">
      <c r="A5" s="6" t="s">
        <v>47</v>
      </c>
      <c r="B5">
        <v>19.11</v>
      </c>
      <c r="D5" s="6" t="s">
        <v>15</v>
      </c>
      <c r="E5">
        <v>26.11</v>
      </c>
      <c r="G5" s="6" t="s">
        <v>41</v>
      </c>
      <c r="H5">
        <v>88.41</v>
      </c>
      <c r="J5" s="3" t="s">
        <v>85</v>
      </c>
      <c r="K5" s="3">
        <f>'04_Analysis'!B5</f>
        <v>50.572222222222223</v>
      </c>
    </row>
    <row r="6" spans="1:11" ht="30" x14ac:dyDescent="0.25">
      <c r="A6" s="6" t="s">
        <v>24</v>
      </c>
      <c r="B6">
        <v>18.420000000000002</v>
      </c>
      <c r="D6" s="6" t="s">
        <v>24</v>
      </c>
      <c r="E6">
        <v>25.77</v>
      </c>
      <c r="G6" s="6" t="s">
        <v>31</v>
      </c>
      <c r="H6">
        <v>85.96</v>
      </c>
      <c r="J6" s="3" t="s">
        <v>86</v>
      </c>
      <c r="K6">
        <f>'04_Analysis'!B6</f>
        <v>13.210555555555555</v>
      </c>
    </row>
    <row r="7" spans="1:11" x14ac:dyDescent="0.25">
      <c r="A7" s="6" t="s">
        <v>15</v>
      </c>
      <c r="B7">
        <v>16.940000000000001</v>
      </c>
      <c r="D7" s="6" t="s">
        <v>34</v>
      </c>
      <c r="E7">
        <v>25.52</v>
      </c>
      <c r="G7" s="6" t="s">
        <v>33</v>
      </c>
      <c r="H7">
        <v>85.85</v>
      </c>
    </row>
    <row r="8" spans="1:11" x14ac:dyDescent="0.25">
      <c r="A8" s="6" t="s">
        <v>22</v>
      </c>
      <c r="B8">
        <v>16.89</v>
      </c>
      <c r="D8" s="6" t="s">
        <v>29</v>
      </c>
      <c r="E8">
        <v>24.82</v>
      </c>
      <c r="G8" s="6" t="s">
        <v>48</v>
      </c>
      <c r="H8">
        <v>85.62</v>
      </c>
    </row>
    <row r="9" spans="1:11" ht="45" x14ac:dyDescent="0.25">
      <c r="A9" s="6" t="s">
        <v>34</v>
      </c>
      <c r="B9">
        <v>16.489999999999998</v>
      </c>
      <c r="D9" s="6" t="s">
        <v>26</v>
      </c>
      <c r="E9">
        <v>23.669999999999998</v>
      </c>
      <c r="G9" s="6" t="s">
        <v>40</v>
      </c>
      <c r="H9">
        <v>85.1</v>
      </c>
      <c r="J9" s="3" t="s">
        <v>128</v>
      </c>
      <c r="K9" s="3" t="s">
        <v>127</v>
      </c>
    </row>
    <row r="10" spans="1:11" x14ac:dyDescent="0.25">
      <c r="A10" s="6" t="s">
        <v>26</v>
      </c>
      <c r="B10">
        <v>16.03</v>
      </c>
      <c r="D10" s="6" t="s">
        <v>47</v>
      </c>
      <c r="E10">
        <v>23.23</v>
      </c>
      <c r="G10" s="6" t="s">
        <v>20</v>
      </c>
      <c r="H10">
        <v>84.55</v>
      </c>
      <c r="J10" s="3" t="s">
        <v>87</v>
      </c>
      <c r="K10" s="3">
        <f>'04_Analysis'!E2</f>
        <v>79.960833333333341</v>
      </c>
    </row>
    <row r="11" spans="1:11" ht="30" x14ac:dyDescent="0.25">
      <c r="A11" s="6" t="s">
        <v>37</v>
      </c>
      <c r="B11">
        <v>15.21</v>
      </c>
      <c r="D11" s="6" t="s">
        <v>44</v>
      </c>
      <c r="E11">
        <v>22.559999999999995</v>
      </c>
      <c r="G11" s="6" t="s">
        <v>16</v>
      </c>
      <c r="H11">
        <v>83.76</v>
      </c>
      <c r="J11" s="3" t="s">
        <v>88</v>
      </c>
      <c r="K11" s="3">
        <f>'04_Analysis'!E3</f>
        <v>15.482222222222223</v>
      </c>
    </row>
    <row r="12" spans="1:11" x14ac:dyDescent="0.25">
      <c r="A12" s="6" t="s">
        <v>147</v>
      </c>
      <c r="B12">
        <v>20.991</v>
      </c>
      <c r="D12" s="6" t="s">
        <v>35</v>
      </c>
      <c r="E12">
        <v>21.72</v>
      </c>
      <c r="G12" s="6" t="s">
        <v>18</v>
      </c>
      <c r="H12">
        <v>83.63</v>
      </c>
      <c r="J12" s="3" t="s">
        <v>89</v>
      </c>
      <c r="K12" s="3">
        <f>'04_Analysis'!E4</f>
        <v>0.44285714285714278</v>
      </c>
    </row>
    <row r="13" spans="1:11" x14ac:dyDescent="0.25">
      <c r="D13" s="6" t="s">
        <v>25</v>
      </c>
      <c r="E13">
        <v>21.26</v>
      </c>
      <c r="G13" s="6" t="s">
        <v>17</v>
      </c>
      <c r="H13">
        <v>83.17</v>
      </c>
      <c r="J13" s="3" t="s">
        <v>90</v>
      </c>
      <c r="K13" s="3">
        <f>'04_Analysis'!E5</f>
        <v>3.1083333333333329</v>
      </c>
    </row>
    <row r="14" spans="1:11" x14ac:dyDescent="0.25">
      <c r="D14" s="6" t="s">
        <v>27</v>
      </c>
      <c r="E14">
        <v>21.15</v>
      </c>
      <c r="G14" s="6" t="s">
        <v>36</v>
      </c>
      <c r="H14">
        <v>82.03</v>
      </c>
      <c r="J14" s="3" t="s">
        <v>91</v>
      </c>
      <c r="K14" s="3">
        <f>'04_Analysis'!E6</f>
        <v>1.0158333333333331</v>
      </c>
    </row>
    <row r="15" spans="1:11" x14ac:dyDescent="0.25">
      <c r="D15" s="6" t="s">
        <v>38</v>
      </c>
      <c r="E15">
        <v>20.770000000000003</v>
      </c>
      <c r="G15" s="6" t="s">
        <v>39</v>
      </c>
      <c r="H15">
        <v>81.84</v>
      </c>
    </row>
    <row r="16" spans="1:11" x14ac:dyDescent="0.25">
      <c r="D16" s="6" t="s">
        <v>19</v>
      </c>
      <c r="E16">
        <v>20.51</v>
      </c>
      <c r="G16" s="6" t="s">
        <v>30</v>
      </c>
      <c r="H16">
        <v>81.66</v>
      </c>
    </row>
    <row r="17" spans="4:8" x14ac:dyDescent="0.25">
      <c r="D17" s="6" t="s">
        <v>46</v>
      </c>
      <c r="E17">
        <v>20.129999999999995</v>
      </c>
      <c r="G17" s="6" t="s">
        <v>13</v>
      </c>
      <c r="H17">
        <v>81.39</v>
      </c>
    </row>
    <row r="18" spans="4:8" x14ac:dyDescent="0.25">
      <c r="D18" s="6" t="s">
        <v>45</v>
      </c>
      <c r="E18">
        <v>19.7</v>
      </c>
      <c r="G18" s="6" t="s">
        <v>43</v>
      </c>
      <c r="H18">
        <v>80.92</v>
      </c>
    </row>
    <row r="19" spans="4:8" x14ac:dyDescent="0.25">
      <c r="D19" s="6" t="s">
        <v>32</v>
      </c>
      <c r="E19">
        <v>19.29</v>
      </c>
      <c r="G19" s="6" t="s">
        <v>37</v>
      </c>
      <c r="H19">
        <v>80.86</v>
      </c>
    </row>
    <row r="20" spans="4:8" x14ac:dyDescent="0.25">
      <c r="D20" s="6" t="s">
        <v>37</v>
      </c>
      <c r="E20">
        <v>19.139999999999997</v>
      </c>
      <c r="G20" s="6" t="s">
        <v>32</v>
      </c>
      <c r="H20">
        <v>80.709999999999994</v>
      </c>
    </row>
    <row r="21" spans="4:8" x14ac:dyDescent="0.25">
      <c r="D21" s="6" t="s">
        <v>43</v>
      </c>
      <c r="E21">
        <v>19.079999999999998</v>
      </c>
      <c r="G21" s="6" t="s">
        <v>45</v>
      </c>
      <c r="H21">
        <v>80.3</v>
      </c>
    </row>
    <row r="22" spans="4:8" x14ac:dyDescent="0.25">
      <c r="D22" s="6" t="s">
        <v>13</v>
      </c>
      <c r="E22">
        <v>18.599999999999998</v>
      </c>
      <c r="G22" s="6" t="s">
        <v>46</v>
      </c>
      <c r="H22">
        <v>79.86</v>
      </c>
    </row>
    <row r="23" spans="4:8" x14ac:dyDescent="0.25">
      <c r="D23" s="6" t="s">
        <v>30</v>
      </c>
      <c r="E23">
        <v>18.34</v>
      </c>
      <c r="G23" s="6" t="s">
        <v>19</v>
      </c>
      <c r="H23">
        <v>79.489999999999995</v>
      </c>
    </row>
    <row r="24" spans="4:8" x14ac:dyDescent="0.25">
      <c r="D24" s="6" t="s">
        <v>39</v>
      </c>
      <c r="E24">
        <v>18.170000000000002</v>
      </c>
      <c r="G24" s="6" t="s">
        <v>38</v>
      </c>
      <c r="H24">
        <v>79.23</v>
      </c>
    </row>
    <row r="25" spans="4:8" x14ac:dyDescent="0.25">
      <c r="D25" s="6" t="s">
        <v>36</v>
      </c>
      <c r="E25">
        <v>17.97</v>
      </c>
      <c r="G25" s="6" t="s">
        <v>27</v>
      </c>
      <c r="H25">
        <v>78.86</v>
      </c>
    </row>
    <row r="26" spans="4:8" x14ac:dyDescent="0.25">
      <c r="D26" s="6" t="s">
        <v>17</v>
      </c>
      <c r="E26">
        <v>16.84</v>
      </c>
      <c r="G26" s="6" t="s">
        <v>25</v>
      </c>
      <c r="H26">
        <v>78.739999999999995</v>
      </c>
    </row>
    <row r="27" spans="4:8" x14ac:dyDescent="0.25">
      <c r="D27" s="6" t="s">
        <v>18</v>
      </c>
      <c r="E27">
        <v>16.36</v>
      </c>
      <c r="G27" s="6" t="s">
        <v>35</v>
      </c>
      <c r="H27">
        <v>78.28</v>
      </c>
    </row>
    <row r="28" spans="4:8" x14ac:dyDescent="0.25">
      <c r="D28" s="6" t="s">
        <v>16</v>
      </c>
      <c r="E28">
        <v>16.240000000000002</v>
      </c>
      <c r="G28" s="6" t="s">
        <v>44</v>
      </c>
      <c r="H28">
        <v>77.44</v>
      </c>
    </row>
    <row r="29" spans="4:8" x14ac:dyDescent="0.25">
      <c r="D29" s="6" t="s">
        <v>20</v>
      </c>
      <c r="E29">
        <v>15.45</v>
      </c>
      <c r="G29" s="6" t="s">
        <v>47</v>
      </c>
      <c r="H29">
        <v>76.760000000000005</v>
      </c>
    </row>
    <row r="30" spans="4:8" x14ac:dyDescent="0.25">
      <c r="D30" s="6" t="s">
        <v>40</v>
      </c>
      <c r="E30">
        <v>14.9</v>
      </c>
      <c r="G30" s="6" t="s">
        <v>26</v>
      </c>
      <c r="H30">
        <v>76.33</v>
      </c>
    </row>
    <row r="31" spans="4:8" x14ac:dyDescent="0.25">
      <c r="D31" s="6" t="s">
        <v>48</v>
      </c>
      <c r="E31">
        <v>14.379999999999999</v>
      </c>
      <c r="G31" s="6" t="s">
        <v>29</v>
      </c>
      <c r="H31">
        <v>75.180000000000007</v>
      </c>
    </row>
    <row r="32" spans="4:8" x14ac:dyDescent="0.25">
      <c r="D32" s="6" t="s">
        <v>33</v>
      </c>
      <c r="E32">
        <v>14.14</v>
      </c>
      <c r="G32" s="6" t="s">
        <v>34</v>
      </c>
      <c r="H32">
        <v>74.47</v>
      </c>
    </row>
    <row r="33" spans="4:8" x14ac:dyDescent="0.25">
      <c r="D33" s="6" t="s">
        <v>31</v>
      </c>
      <c r="E33">
        <v>14.03</v>
      </c>
      <c r="G33" s="6" t="s">
        <v>24</v>
      </c>
      <c r="H33">
        <v>74.22</v>
      </c>
    </row>
    <row r="34" spans="4:8" x14ac:dyDescent="0.25">
      <c r="D34" s="6" t="s">
        <v>41</v>
      </c>
      <c r="E34">
        <v>11.579999999999998</v>
      </c>
      <c r="G34" s="6" t="s">
        <v>15</v>
      </c>
      <c r="H34">
        <v>73.89</v>
      </c>
    </row>
    <row r="35" spans="4:8" x14ac:dyDescent="0.25">
      <c r="D35" s="6" t="s">
        <v>14</v>
      </c>
      <c r="E35">
        <v>10.639999999999999</v>
      </c>
      <c r="G35" s="6" t="s">
        <v>22</v>
      </c>
      <c r="H35">
        <v>73.650000000000006</v>
      </c>
    </row>
    <row r="36" spans="4:8" x14ac:dyDescent="0.25">
      <c r="D36" s="6" t="s">
        <v>42</v>
      </c>
      <c r="E36">
        <v>9.67</v>
      </c>
      <c r="G36" s="6" t="s">
        <v>28</v>
      </c>
      <c r="H36">
        <v>70.52</v>
      </c>
    </row>
    <row r="37" spans="4:8" x14ac:dyDescent="0.25">
      <c r="D37" s="6" t="s">
        <v>21</v>
      </c>
      <c r="E37">
        <v>9.2999999999999989</v>
      </c>
      <c r="G37" s="6" t="s">
        <v>23</v>
      </c>
      <c r="H37">
        <v>45.54</v>
      </c>
    </row>
    <row r="38" spans="4:8" x14ac:dyDescent="0.25">
      <c r="D38" s="6" t="s">
        <v>49</v>
      </c>
      <c r="E38">
        <v>0</v>
      </c>
      <c r="G38" s="6" t="s">
        <v>50</v>
      </c>
    </row>
    <row r="39" spans="4:8" x14ac:dyDescent="0.25">
      <c r="D39" s="6" t="s">
        <v>50</v>
      </c>
      <c r="E39">
        <v>0</v>
      </c>
      <c r="G39" s="6" t="s">
        <v>49</v>
      </c>
    </row>
    <row r="40" spans="4:8" x14ac:dyDescent="0.25">
      <c r="D40" s="6" t="s">
        <v>147</v>
      </c>
      <c r="E40">
        <v>18.982368421052627</v>
      </c>
      <c r="G40" s="6" t="s">
        <v>147</v>
      </c>
      <c r="H40">
        <v>79.960833333333355</v>
      </c>
    </row>
  </sheetData>
  <pageMargins left="0.7" right="0.7" top="0.75" bottom="0.75" header="0.3" footer="0.3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6358-82B9-4B3E-A35F-FC860DCCC812}">
  <dimension ref="A1:D17"/>
  <sheetViews>
    <sheetView workbookViewId="0">
      <selection sqref="A1:D17"/>
    </sheetView>
  </sheetViews>
  <sheetFormatPr defaultRowHeight="15" x14ac:dyDescent="0.25"/>
  <sheetData>
    <row r="1" spans="1:4" ht="30" x14ac:dyDescent="0.25">
      <c r="A1" s="2" t="s">
        <v>102</v>
      </c>
      <c r="B1" s="2" t="s">
        <v>103</v>
      </c>
      <c r="C1" s="2" t="s">
        <v>104</v>
      </c>
      <c r="D1" s="2" t="s">
        <v>105</v>
      </c>
    </row>
    <row r="2" spans="1:4" ht="30" x14ac:dyDescent="0.25">
      <c r="A2" s="3" t="s">
        <v>0</v>
      </c>
      <c r="B2" s="3" t="s">
        <v>106</v>
      </c>
      <c r="C2" s="3" t="s">
        <v>107</v>
      </c>
      <c r="D2" s="3" t="s">
        <v>108</v>
      </c>
    </row>
    <row r="3" spans="1:4" ht="150" x14ac:dyDescent="0.25">
      <c r="A3" s="3" t="s">
        <v>1</v>
      </c>
      <c r="B3" s="3" t="s">
        <v>109</v>
      </c>
      <c r="C3" s="3" t="s">
        <v>110</v>
      </c>
      <c r="D3" s="3" t="s">
        <v>108</v>
      </c>
    </row>
    <row r="4" spans="1:4" ht="90" x14ac:dyDescent="0.25">
      <c r="A4" s="3" t="s">
        <v>2</v>
      </c>
      <c r="B4" s="3" t="s">
        <v>111</v>
      </c>
      <c r="C4" s="3" t="s">
        <v>110</v>
      </c>
      <c r="D4" s="3" t="s">
        <v>108</v>
      </c>
    </row>
    <row r="5" spans="1:4" ht="120" x14ac:dyDescent="0.25">
      <c r="A5" s="3" t="s">
        <v>3</v>
      </c>
      <c r="B5" s="3" t="s">
        <v>112</v>
      </c>
      <c r="C5" s="3" t="s">
        <v>110</v>
      </c>
      <c r="D5" s="3" t="s">
        <v>108</v>
      </c>
    </row>
    <row r="6" spans="1:4" ht="105" x14ac:dyDescent="0.25">
      <c r="A6" s="3" t="s">
        <v>4</v>
      </c>
      <c r="B6" s="3" t="s">
        <v>113</v>
      </c>
      <c r="C6" s="3" t="s">
        <v>110</v>
      </c>
      <c r="D6" s="3" t="s">
        <v>108</v>
      </c>
    </row>
    <row r="7" spans="1:4" ht="105" x14ac:dyDescent="0.25">
      <c r="A7" s="3" t="s">
        <v>5</v>
      </c>
      <c r="B7" s="3" t="s">
        <v>114</v>
      </c>
      <c r="C7" s="3" t="s">
        <v>110</v>
      </c>
      <c r="D7" s="3" t="s">
        <v>108</v>
      </c>
    </row>
    <row r="8" spans="1:4" ht="120" x14ac:dyDescent="0.25">
      <c r="A8" s="3" t="s">
        <v>6</v>
      </c>
      <c r="B8" s="3" t="s">
        <v>115</v>
      </c>
      <c r="C8" s="3" t="s">
        <v>110</v>
      </c>
      <c r="D8" s="3" t="s">
        <v>108</v>
      </c>
    </row>
    <row r="9" spans="1:4" ht="135" x14ac:dyDescent="0.25">
      <c r="A9" s="3" t="s">
        <v>7</v>
      </c>
      <c r="B9" s="3" t="s">
        <v>116</v>
      </c>
      <c r="C9" s="3" t="s">
        <v>110</v>
      </c>
      <c r="D9" s="3" t="s">
        <v>108</v>
      </c>
    </row>
    <row r="10" spans="1:4" ht="120" x14ac:dyDescent="0.25">
      <c r="A10" s="3" t="s">
        <v>8</v>
      </c>
      <c r="B10" s="3" t="s">
        <v>117</v>
      </c>
      <c r="C10" s="3" t="s">
        <v>110</v>
      </c>
      <c r="D10" s="3" t="s">
        <v>108</v>
      </c>
    </row>
    <row r="11" spans="1:4" ht="120" x14ac:dyDescent="0.25">
      <c r="A11" s="3" t="s">
        <v>9</v>
      </c>
      <c r="B11" s="3" t="s">
        <v>118</v>
      </c>
      <c r="C11" s="3" t="s">
        <v>110</v>
      </c>
      <c r="D11" s="3" t="s">
        <v>108</v>
      </c>
    </row>
    <row r="12" spans="1:4" ht="120" x14ac:dyDescent="0.25">
      <c r="A12" s="3" t="s">
        <v>10</v>
      </c>
      <c r="B12" s="3" t="s">
        <v>119</v>
      </c>
      <c r="C12" s="3" t="s">
        <v>110</v>
      </c>
      <c r="D12" s="3" t="s">
        <v>108</v>
      </c>
    </row>
    <row r="13" spans="1:4" ht="45" x14ac:dyDescent="0.25">
      <c r="A13" s="3" t="s">
        <v>12</v>
      </c>
      <c r="B13" s="3" t="s">
        <v>120</v>
      </c>
      <c r="C13" s="3" t="s">
        <v>110</v>
      </c>
      <c r="D13" s="3" t="s">
        <v>108</v>
      </c>
    </row>
    <row r="14" spans="1:4" ht="75" x14ac:dyDescent="0.25">
      <c r="A14" s="3" t="s">
        <v>95</v>
      </c>
      <c r="B14" s="3" t="s">
        <v>121</v>
      </c>
      <c r="C14" s="3" t="s">
        <v>122</v>
      </c>
      <c r="D14" s="3" t="s">
        <v>51</v>
      </c>
    </row>
    <row r="15" spans="1:4" ht="45" x14ac:dyDescent="0.25">
      <c r="A15" s="3" t="s">
        <v>96</v>
      </c>
      <c r="B15" s="3" t="s">
        <v>123</v>
      </c>
      <c r="C15" s="3" t="s">
        <v>122</v>
      </c>
      <c r="D15" s="3" t="s">
        <v>51</v>
      </c>
    </row>
    <row r="16" spans="1:4" ht="75" x14ac:dyDescent="0.25">
      <c r="A16" s="3" t="s">
        <v>97</v>
      </c>
      <c r="B16" s="3" t="s">
        <v>124</v>
      </c>
      <c r="C16" s="3" t="s">
        <v>122</v>
      </c>
      <c r="D16" s="3" t="s">
        <v>51</v>
      </c>
    </row>
    <row r="17" spans="1:4" ht="75" x14ac:dyDescent="0.25">
      <c r="A17" s="3" t="s">
        <v>98</v>
      </c>
      <c r="B17" s="3" t="s">
        <v>125</v>
      </c>
      <c r="C17" s="3" t="s">
        <v>122</v>
      </c>
      <c r="D17" s="3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22" customWidth="1"/>
    <col min="2" max="2" width="90" customWidth="1"/>
  </cols>
  <sheetData>
    <row r="1" spans="1:2" x14ac:dyDescent="0.25">
      <c r="A1" t="s">
        <v>51</v>
      </c>
      <c r="B1" t="s">
        <v>52</v>
      </c>
    </row>
    <row r="2" spans="1:2" x14ac:dyDescent="0.25">
      <c r="A2" t="s">
        <v>53</v>
      </c>
      <c r="B2" t="s">
        <v>54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  <row r="5" spans="1:2" x14ac:dyDescent="0.25">
      <c r="A5" t="s">
        <v>59</v>
      </c>
      <c r="B5" t="s">
        <v>60</v>
      </c>
    </row>
    <row r="6" spans="1:2" x14ac:dyDescent="0.25">
      <c r="A6" t="s">
        <v>61</v>
      </c>
      <c r="B6" t="s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cols>
    <col min="1" max="1" width="32" customWidth="1"/>
    <col min="2" max="2" width="85" customWidth="1"/>
  </cols>
  <sheetData>
    <row r="1" spans="1:2" x14ac:dyDescent="0.25">
      <c r="A1" s="1" t="s">
        <v>63</v>
      </c>
      <c r="B1" s="1" t="s">
        <v>64</v>
      </c>
    </row>
    <row r="2" spans="1:2" x14ac:dyDescent="0.25">
      <c r="A2" t="s">
        <v>65</v>
      </c>
      <c r="B2" t="s">
        <v>66</v>
      </c>
    </row>
    <row r="3" spans="1:2" x14ac:dyDescent="0.25">
      <c r="A3" t="s">
        <v>67</v>
      </c>
      <c r="B3" t="s">
        <v>68</v>
      </c>
    </row>
    <row r="4" spans="1:2" x14ac:dyDescent="0.25">
      <c r="A4" t="s">
        <v>69</v>
      </c>
      <c r="B4" t="s">
        <v>70</v>
      </c>
    </row>
    <row r="5" spans="1:2" x14ac:dyDescent="0.25">
      <c r="A5" t="s">
        <v>71</v>
      </c>
      <c r="B5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01_BPS_Raw_Data</vt:lpstr>
      <vt:lpstr>02_Data_Validation</vt:lpstr>
      <vt:lpstr>03_Clean_Data</vt:lpstr>
      <vt:lpstr>04_Analysis</vt:lpstr>
      <vt:lpstr>05_Pivot_Table</vt:lpstr>
      <vt:lpstr>06_Data_Dictionary</vt:lpstr>
      <vt:lpstr>README</vt:lpstr>
      <vt:lpstr>07_Sources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Velen Shinta Pramesti</cp:lastModifiedBy>
  <dcterms:created xsi:type="dcterms:W3CDTF">2026-09-22T14:39:31Z</dcterms:created>
  <dcterms:modified xsi:type="dcterms:W3CDTF">2026-10-06T04:27:21Z</dcterms:modified>
</cp:coreProperties>
</file>